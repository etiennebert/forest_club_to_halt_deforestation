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nGTAP375\Game_theory_2024\5_Visualisation\"/>
    </mc:Choice>
  </mc:AlternateContent>
  <xr:revisionPtr revIDLastSave="0" documentId="13_ncr:1_{478976EC-7528-42BB-90C8-05A6B7F2DFB6}" xr6:coauthVersionLast="47" xr6:coauthVersionMax="47" xr10:uidLastSave="{00000000-0000-0000-0000-000000000000}"/>
  <bookViews>
    <workbookView xWindow="-108" yWindow="-108" windowWidth="23256" windowHeight="12456" activeTab="5" xr2:uid="{DC9D0EDD-2438-42C5-B34B-D056689AD448}"/>
  </bookViews>
  <sheets>
    <sheet name="p_HARVSTAREA_L" sheetId="1" r:id="rId1"/>
    <sheet name="Sheet2" sheetId="2" r:id="rId2"/>
    <sheet name="cHARVSTAREA" sheetId="3" r:id="rId3"/>
    <sheet name="p_LANDCOVER_L" sheetId="4" r:id="rId4"/>
    <sheet name="Sheet5" sheetId="5" r:id="rId5"/>
    <sheet name="Ruminant" sheetId="6" r:id="rId6"/>
    <sheet name="Fores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19" i="3"/>
  <c r="D19" i="3"/>
  <c r="E19" i="3"/>
  <c r="F19" i="3"/>
  <c r="G19" i="3"/>
  <c r="H19" i="3"/>
  <c r="I19" i="3"/>
  <c r="C2" i="3"/>
  <c r="D2" i="3"/>
  <c r="E2" i="3"/>
  <c r="F2" i="3"/>
  <c r="G2" i="3"/>
  <c r="H2" i="3"/>
  <c r="I2" i="3"/>
  <c r="C3" i="3"/>
  <c r="D3" i="3"/>
  <c r="E3" i="3"/>
  <c r="F3" i="3"/>
  <c r="G3" i="3"/>
  <c r="H3" i="3"/>
  <c r="I3" i="3"/>
  <c r="C4" i="3"/>
  <c r="D4" i="3"/>
  <c r="E4" i="3"/>
  <c r="F4" i="3"/>
  <c r="G4" i="3"/>
  <c r="H4" i="3"/>
  <c r="I4" i="3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C12" i="3"/>
  <c r="D12" i="3"/>
  <c r="E12" i="3"/>
  <c r="F12" i="3"/>
  <c r="G12" i="3"/>
  <c r="H12" i="3"/>
  <c r="I12" i="3"/>
  <c r="C13" i="3"/>
  <c r="D13" i="3"/>
  <c r="E13" i="3"/>
  <c r="F13" i="3"/>
  <c r="G13" i="3"/>
  <c r="H13" i="3"/>
  <c r="I13" i="3"/>
  <c r="C14" i="3"/>
  <c r="D14" i="3"/>
  <c r="E14" i="3"/>
  <c r="F14" i="3"/>
  <c r="G14" i="3"/>
  <c r="H14" i="3"/>
  <c r="I14" i="3"/>
  <c r="C15" i="3"/>
  <c r="D15" i="3"/>
  <c r="E15" i="3"/>
  <c r="F15" i="3"/>
  <c r="G15" i="3"/>
  <c r="H15" i="3"/>
  <c r="I15" i="3"/>
  <c r="C16" i="3"/>
  <c r="D16" i="3"/>
  <c r="E16" i="3"/>
  <c r="F16" i="3"/>
  <c r="G16" i="3"/>
  <c r="H16" i="3"/>
  <c r="I16" i="3"/>
  <c r="C17" i="3"/>
  <c r="D17" i="3"/>
  <c r="E17" i="3"/>
  <c r="F17" i="3"/>
  <c r="G17" i="3"/>
  <c r="H17" i="3"/>
  <c r="I17" i="3"/>
  <c r="C18" i="3"/>
  <c r="D18" i="3"/>
  <c r="E18" i="3"/>
  <c r="F18" i="3"/>
  <c r="G18" i="3"/>
  <c r="H18" i="3"/>
  <c r="I18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2" i="3"/>
  <c r="B6" i="7" l="1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3" i="7"/>
  <c r="B4" i="7"/>
  <c r="B5" i="7"/>
  <c r="B2" i="7"/>
  <c r="B3" i="6"/>
  <c r="B4" i="6"/>
  <c r="B5" i="6"/>
  <c r="B6" i="6"/>
  <c r="B2" i="6"/>
  <c r="B1" i="6"/>
</calcChain>
</file>

<file path=xl/sharedStrings.xml><?xml version="1.0" encoding="utf-8"?>
<sst xmlns="http://schemas.openxmlformats.org/spreadsheetml/2006/main" count="202" uniqueCount="61">
  <si>
    <t>p_HARVSTAREA_L</t>
  </si>
  <si>
    <t>1 pdr</t>
  </si>
  <si>
    <t>2 wht</t>
  </si>
  <si>
    <t>3 gro</t>
  </si>
  <si>
    <t>4 v_f</t>
  </si>
  <si>
    <t>5 osd</t>
  </si>
  <si>
    <t>6 c_b</t>
  </si>
  <si>
    <t>7 pfb</t>
  </si>
  <si>
    <t>8 ocr</t>
  </si>
  <si>
    <t>1 New18</t>
  </si>
  <si>
    <t>2 New17</t>
  </si>
  <si>
    <t>3 New16</t>
  </si>
  <si>
    <t>4 New15</t>
  </si>
  <si>
    <t>5 New14</t>
  </si>
  <si>
    <t>6 New13</t>
  </si>
  <si>
    <t>7 New12</t>
  </si>
  <si>
    <t>8 New11</t>
  </si>
  <si>
    <t>9 New10</t>
  </si>
  <si>
    <t>10 New9</t>
  </si>
  <si>
    <t>11 New8</t>
  </si>
  <si>
    <t>12 New7</t>
  </si>
  <si>
    <t>13 New6</t>
  </si>
  <si>
    <t>14 New5</t>
  </si>
  <si>
    <t>15 New4</t>
  </si>
  <si>
    <t>16 New3</t>
  </si>
  <si>
    <t>17 New2</t>
  </si>
  <si>
    <t>18 New1</t>
  </si>
  <si>
    <t>cHARVSTAREA</t>
  </si>
  <si>
    <t>Total</t>
  </si>
  <si>
    <t>p_LANDCOVER_L</t>
  </si>
  <si>
    <t>1 Forest</t>
  </si>
  <si>
    <t>2 SavnGrasslnd</t>
  </si>
  <si>
    <t>3 Shrubland</t>
  </si>
  <si>
    <t>4 Cropland</t>
  </si>
  <si>
    <t>5 ruminant</t>
  </si>
  <si>
    <t>6 Builtupland</t>
  </si>
  <si>
    <t>7 Otherland</t>
  </si>
  <si>
    <t>LUC</t>
  </si>
  <si>
    <t>Forest</t>
  </si>
  <si>
    <t>1 AEZ1</t>
  </si>
  <si>
    <t>2 AEZ2</t>
  </si>
  <si>
    <t>3 AEZ3</t>
  </si>
  <si>
    <t>4 AEZ4</t>
  </si>
  <si>
    <t>5 AEZ5</t>
  </si>
  <si>
    <t>6 AEZ6</t>
  </si>
  <si>
    <t>7 AEZ7</t>
  </si>
  <si>
    <t>8 AEZ8</t>
  </si>
  <si>
    <t>9 AEZ9</t>
  </si>
  <si>
    <t>10 AEZ10</t>
  </si>
  <si>
    <t>11 AEZ11</t>
  </si>
  <si>
    <t>12 AEZ12</t>
  </si>
  <si>
    <t>13 AEZ13</t>
  </si>
  <si>
    <t>14 AEZ14</t>
  </si>
  <si>
    <t>15 AEZ15</t>
  </si>
  <si>
    <t>16 AEZ16</t>
  </si>
  <si>
    <t>17 AEZ17</t>
  </si>
  <si>
    <t>18 AEZ18</t>
  </si>
  <si>
    <t>1 Forestland</t>
  </si>
  <si>
    <t>2 SavnGrasland</t>
  </si>
  <si>
    <t>5 Pastureland</t>
  </si>
  <si>
    <t>del_LUC[**Brasil]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</si>
</sst>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159C-370E-4058-B5CB-56F9344FA449}">
  <dimension ref="A1:I19"/>
  <sheetViews>
    <sheetView topLeftCell="A7" workbookViewId="0">
      <selection activeCell="L12" sqref="L12:T3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15</v>
      </c>
      <c r="B8">
        <v>8.0404999999999998</v>
      </c>
      <c r="C8">
        <v>-5.8598999999999997</v>
      </c>
      <c r="D8">
        <v>-2.6132</v>
      </c>
      <c r="E8">
        <v>-0.45069999999999999</v>
      </c>
      <c r="F8">
        <v>-4.4812000000000003</v>
      </c>
      <c r="G8">
        <v>20.015599999999999</v>
      </c>
      <c r="H8">
        <v>-4.5829000000000004</v>
      </c>
      <c r="I8">
        <v>6.7299999999999999E-2</v>
      </c>
    </row>
    <row r="9" spans="1:9" x14ac:dyDescent="0.3">
      <c r="A9" t="s">
        <v>16</v>
      </c>
      <c r="B9">
        <v>-2.7046999999999999</v>
      </c>
      <c r="C9">
        <v>-1.3637999999999999</v>
      </c>
      <c r="D9">
        <v>-0.42959999999999998</v>
      </c>
      <c r="E9">
        <v>-8.6900000000000005E-2</v>
      </c>
      <c r="F9">
        <v>-0.79379999999999995</v>
      </c>
      <c r="G9">
        <v>8.0793999999999997</v>
      </c>
      <c r="H9">
        <v>-0.80669999999999997</v>
      </c>
      <c r="I9">
        <v>4.1099999999999998E-2</v>
      </c>
    </row>
    <row r="10" spans="1:9" x14ac:dyDescent="0.3">
      <c r="A10" t="s">
        <v>17</v>
      </c>
      <c r="B10">
        <v>2.4563999999999999</v>
      </c>
      <c r="C10">
        <v>3.4664999999999999</v>
      </c>
      <c r="D10">
        <v>0.33950000000000002</v>
      </c>
      <c r="E10">
        <v>5.8</v>
      </c>
      <c r="F10">
        <v>-6.9187000000000003</v>
      </c>
      <c r="G10">
        <v>13.8126</v>
      </c>
      <c r="H10">
        <v>-9.5023999999999997</v>
      </c>
      <c r="I10">
        <v>-5.0252999999999997</v>
      </c>
    </row>
    <row r="11" spans="1:9" x14ac:dyDescent="0.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21</v>
      </c>
      <c r="B14">
        <v>-21.9345</v>
      </c>
      <c r="C14">
        <v>-3.4681999999999999</v>
      </c>
      <c r="D14">
        <v>-3.0270000000000001</v>
      </c>
      <c r="E14">
        <v>-1.9481999999999999</v>
      </c>
      <c r="F14">
        <v>-3.2658999999999998</v>
      </c>
      <c r="G14">
        <v>-13.2818</v>
      </c>
      <c r="H14">
        <v>-4.8281999999999998</v>
      </c>
      <c r="I14">
        <v>-1.7769999999999999</v>
      </c>
    </row>
    <row r="15" spans="1:9" x14ac:dyDescent="0.3">
      <c r="A15" t="s">
        <v>22</v>
      </c>
      <c r="B15">
        <v>-2.9226999999999999</v>
      </c>
      <c r="C15">
        <v>-10.9975</v>
      </c>
      <c r="D15">
        <v>-7.2374999999999998</v>
      </c>
      <c r="E15">
        <v>-0.41870000000000002</v>
      </c>
      <c r="F15">
        <v>-9.5140999999999991</v>
      </c>
      <c r="G15">
        <v>7.8372000000000002</v>
      </c>
      <c r="H15">
        <v>-10.9428</v>
      </c>
      <c r="I15">
        <v>0.44340000000000002</v>
      </c>
    </row>
    <row r="16" spans="1:9" x14ac:dyDescent="0.3">
      <c r="A16" t="s">
        <v>23</v>
      </c>
      <c r="B16">
        <v>-3.7888999999999999</v>
      </c>
      <c r="C16">
        <v>-0.59570000000000001</v>
      </c>
      <c r="D16">
        <v>-0.46510000000000001</v>
      </c>
      <c r="E16">
        <v>0.13059999999999999</v>
      </c>
      <c r="F16">
        <v>-0.60129999999999995</v>
      </c>
      <c r="G16">
        <v>6.875</v>
      </c>
      <c r="H16">
        <v>-1.6910000000000001</v>
      </c>
      <c r="I16">
        <v>0.2369</v>
      </c>
    </row>
    <row r="17" spans="1:9" x14ac:dyDescent="0.3">
      <c r="A17" t="s">
        <v>24</v>
      </c>
      <c r="B17">
        <v>-5.2941000000000003</v>
      </c>
      <c r="C17">
        <v>-0.1101</v>
      </c>
      <c r="D17">
        <v>-0.1042</v>
      </c>
      <c r="E17">
        <v>-6.6000000000000003E-2</v>
      </c>
      <c r="F17">
        <v>-0.25319999999999998</v>
      </c>
      <c r="G17">
        <v>5.2030000000000003</v>
      </c>
      <c r="H17">
        <v>-1.1184000000000001</v>
      </c>
      <c r="I17">
        <v>4.5999999999999999E-3</v>
      </c>
    </row>
    <row r="18" spans="1:9" x14ac:dyDescent="0.3">
      <c r="A18" t="s">
        <v>25</v>
      </c>
      <c r="B18">
        <v>7.3517999999999999</v>
      </c>
      <c r="C18">
        <v>8.4100999999999999</v>
      </c>
      <c r="D18">
        <v>5.1337999999999999</v>
      </c>
      <c r="E18">
        <v>10.8551</v>
      </c>
      <c r="F18">
        <v>-2.4712999999999998</v>
      </c>
      <c r="G18">
        <v>19.250599999999999</v>
      </c>
      <c r="H18">
        <v>-5.1783000000000001</v>
      </c>
      <c r="I18">
        <v>-0.4874</v>
      </c>
    </row>
    <row r="19" spans="1:9" x14ac:dyDescent="0.3">
      <c r="A19" t="s">
        <v>26</v>
      </c>
      <c r="B19">
        <v>8.0907</v>
      </c>
      <c r="C19">
        <v>5.2328000000000001</v>
      </c>
      <c r="D19">
        <v>5.8574000000000002</v>
      </c>
      <c r="E19">
        <v>11.6181</v>
      </c>
      <c r="F19">
        <v>-1.8</v>
      </c>
      <c r="G19">
        <v>20.071400000000001</v>
      </c>
      <c r="H19">
        <v>-4.5256999999999996</v>
      </c>
      <c r="I19">
        <v>0.19750000000000001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A18B-C8F9-4CA7-8FE2-7FEA8AF8F841}">
  <dimension ref="A1:J20"/>
  <sheetViews>
    <sheetView topLeftCell="A7" workbookViewId="0">
      <selection activeCell="J30" sqref="J30"/>
    </sheetView>
  </sheetViews>
  <sheetFormatPr defaultRowHeight="14.4" x14ac:dyDescent="0.3"/>
  <sheetData>
    <row r="1" spans="1:10" x14ac:dyDescent="0.3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</v>
      </c>
    </row>
    <row r="2" spans="1:10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15</v>
      </c>
      <c r="B8">
        <v>52.5184</v>
      </c>
      <c r="C8">
        <v>-68.492699999999999</v>
      </c>
      <c r="D8">
        <v>-131.39830000000001</v>
      </c>
      <c r="E8">
        <v>-4.6904000000000003</v>
      </c>
      <c r="F8">
        <v>-434.22340000000003</v>
      </c>
      <c r="G8">
        <v>30.169499999999999</v>
      </c>
      <c r="H8">
        <v>-1.0528999999999999</v>
      </c>
      <c r="I8">
        <v>0.28389999999999999</v>
      </c>
      <c r="J8">
        <v>-430.64604700000001</v>
      </c>
    </row>
    <row r="9" spans="1:10" x14ac:dyDescent="0.3">
      <c r="A9" t="s">
        <v>16</v>
      </c>
      <c r="B9">
        <v>-0.1061</v>
      </c>
      <c r="C9">
        <v>-9.7999999999999997E-3</v>
      </c>
      <c r="D9">
        <v>-0.70379999999999998</v>
      </c>
      <c r="E9">
        <v>-4.0300000000000002E-2</v>
      </c>
      <c r="F9">
        <v>-0.1095</v>
      </c>
      <c r="G9">
        <v>0.97430000000000005</v>
      </c>
      <c r="H9">
        <v>-1.21E-2</v>
      </c>
      <c r="I9">
        <v>4.4299999999999999E-2</v>
      </c>
      <c r="J9">
        <v>4.0620310000000002</v>
      </c>
    </row>
    <row r="10" spans="1:10" x14ac:dyDescent="0.3">
      <c r="A10" t="s">
        <v>17</v>
      </c>
      <c r="B10">
        <v>1.8E-3</v>
      </c>
      <c r="C10">
        <v>1.44E-2</v>
      </c>
      <c r="D10">
        <v>6.4000000000000003E-3</v>
      </c>
      <c r="E10">
        <v>0.32640000000000002</v>
      </c>
      <c r="F10">
        <v>-2.5499999999999998E-2</v>
      </c>
      <c r="G10">
        <v>0.30819999999999997</v>
      </c>
      <c r="H10">
        <v>-7.6999999999999999E-2</v>
      </c>
      <c r="I10">
        <v>-0.34970000000000001</v>
      </c>
      <c r="J10">
        <v>5.9841999999999999E-2</v>
      </c>
    </row>
    <row r="11" spans="1:10" x14ac:dyDescent="0.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21</v>
      </c>
      <c r="B14">
        <v>-34.202800000000003</v>
      </c>
      <c r="C14">
        <v>-29.851600000000001</v>
      </c>
      <c r="D14">
        <v>-145.70849999999999</v>
      </c>
      <c r="E14">
        <v>-23.3551</v>
      </c>
      <c r="F14">
        <v>-265.97550000000001</v>
      </c>
      <c r="G14">
        <v>-306.798</v>
      </c>
      <c r="H14">
        <v>-7.4972000000000003</v>
      </c>
      <c r="I14">
        <v>-14.496600000000001</v>
      </c>
      <c r="J14">
        <v>-595.73395100000005</v>
      </c>
    </row>
    <row r="15" spans="1:10" x14ac:dyDescent="0.3">
      <c r="A15" t="s">
        <v>22</v>
      </c>
      <c r="B15">
        <v>-8.9189000000000007</v>
      </c>
      <c r="C15">
        <v>-3.6669</v>
      </c>
      <c r="D15">
        <v>-250.5797</v>
      </c>
      <c r="E15">
        <v>-5.8076999999999996</v>
      </c>
      <c r="F15">
        <v>-781.12350000000004</v>
      </c>
      <c r="G15">
        <v>428.16919999999999</v>
      </c>
      <c r="H15">
        <v>-60.348999999999997</v>
      </c>
      <c r="I15">
        <v>4.8090000000000002</v>
      </c>
      <c r="J15">
        <v>-550.00705300000004</v>
      </c>
    </row>
    <row r="16" spans="1:10" x14ac:dyDescent="0.3">
      <c r="A16" t="s">
        <v>23</v>
      </c>
      <c r="B16">
        <v>-19.5181</v>
      </c>
      <c r="C16">
        <v>-0.1847</v>
      </c>
      <c r="D16">
        <v>-15.155099999999999</v>
      </c>
      <c r="E16">
        <v>1.9624999999999999</v>
      </c>
      <c r="F16">
        <v>-62.6068</v>
      </c>
      <c r="G16">
        <v>132.86850000000001</v>
      </c>
      <c r="H16">
        <v>-12.8294</v>
      </c>
      <c r="I16">
        <v>0.71489999999999998</v>
      </c>
      <c r="J16">
        <v>-5.099475</v>
      </c>
    </row>
    <row r="17" spans="1:10" x14ac:dyDescent="0.3">
      <c r="A17" t="s">
        <v>24</v>
      </c>
      <c r="B17">
        <v>-3.7031000000000001</v>
      </c>
      <c r="C17">
        <v>-5.4000000000000003E-3</v>
      </c>
      <c r="D17">
        <v>-1.8046</v>
      </c>
      <c r="E17">
        <v>-0.91890000000000005</v>
      </c>
      <c r="F17">
        <v>-0.69230000000000003</v>
      </c>
      <c r="G17">
        <v>8.9803999999999995</v>
      </c>
      <c r="H17">
        <v>-1.6872</v>
      </c>
      <c r="I17">
        <v>4.4000000000000003E-3</v>
      </c>
      <c r="J17">
        <v>0.10828599999999999</v>
      </c>
    </row>
    <row r="18" spans="1:10" x14ac:dyDescent="0.3">
      <c r="A18" t="s">
        <v>25</v>
      </c>
      <c r="B18">
        <v>0.4778</v>
      </c>
      <c r="C18">
        <v>0.30330000000000001</v>
      </c>
      <c r="D18">
        <v>25.370899999999999</v>
      </c>
      <c r="E18">
        <v>55.1586</v>
      </c>
      <c r="F18">
        <v>-1.4886999999999999</v>
      </c>
      <c r="G18">
        <v>6.6901000000000002</v>
      </c>
      <c r="H18">
        <v>-4.9657</v>
      </c>
      <c r="I18">
        <v>-0.1744</v>
      </c>
      <c r="J18">
        <v>2.6249880000000001</v>
      </c>
    </row>
    <row r="19" spans="1:10" x14ac:dyDescent="0.3">
      <c r="A19" t="s">
        <v>26</v>
      </c>
      <c r="B19">
        <v>1.8100000000000002E-2</v>
      </c>
      <c r="C19">
        <v>0</v>
      </c>
      <c r="D19">
        <v>0.56259999999999999</v>
      </c>
      <c r="E19">
        <v>2.5266999999999999</v>
      </c>
      <c r="F19">
        <v>-7.7399999999999997E-2</v>
      </c>
      <c r="G19">
        <v>2.8614000000000002</v>
      </c>
      <c r="H19">
        <v>-0.498</v>
      </c>
      <c r="I19">
        <v>1.5E-3</v>
      </c>
      <c r="J19">
        <v>0</v>
      </c>
    </row>
    <row r="20" spans="1:10" x14ac:dyDescent="0.3">
      <c r="A20" t="s">
        <v>28</v>
      </c>
      <c r="B20">
        <v>51.570397</v>
      </c>
      <c r="C20">
        <v>-117.090678</v>
      </c>
      <c r="D20">
        <v>-421.56733500000001</v>
      </c>
      <c r="E20">
        <v>-22.103850999999999</v>
      </c>
      <c r="F20">
        <v>-1268.106714</v>
      </c>
      <c r="G20">
        <v>292.30821100000003</v>
      </c>
      <c r="H20">
        <v>-72.024657000000005</v>
      </c>
      <c r="I20">
        <v>-17.616751000000001</v>
      </c>
      <c r="J20">
        <v>-1574.631378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9F2C-B54B-4FF7-82B5-F6326896AE23}">
  <dimension ref="A1:I19"/>
  <sheetViews>
    <sheetView topLeftCell="A3" workbookViewId="0">
      <selection activeCell="I25" sqref="I25"/>
    </sheetView>
  </sheetViews>
  <sheetFormatPr defaultRowHeight="14.4" x14ac:dyDescent="0.3"/>
  <sheetData>
    <row r="1" spans="1:9" x14ac:dyDescent="0.3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f>Sheet2!B2*1000</f>
        <v>0</v>
      </c>
      <c r="C2">
        <f>Sheet2!C2*1000</f>
        <v>0</v>
      </c>
      <c r="D2">
        <f>Sheet2!D2*1000</f>
        <v>0</v>
      </c>
      <c r="E2">
        <f>Sheet2!E2*1000</f>
        <v>0</v>
      </c>
      <c r="F2">
        <f>Sheet2!F2*1000</f>
        <v>0</v>
      </c>
      <c r="G2">
        <f>Sheet2!G2*1000</f>
        <v>0</v>
      </c>
      <c r="H2">
        <f>Sheet2!H2*1000</f>
        <v>0</v>
      </c>
      <c r="I2">
        <f>Sheet2!I2*1000</f>
        <v>0</v>
      </c>
    </row>
    <row r="3" spans="1:9" x14ac:dyDescent="0.3">
      <c r="A3" t="s">
        <v>10</v>
      </c>
      <c r="B3">
        <f>Sheet2!B3*1000</f>
        <v>0</v>
      </c>
      <c r="C3">
        <f>Sheet2!C3*1000</f>
        <v>0</v>
      </c>
      <c r="D3">
        <f>Sheet2!D3*1000</f>
        <v>0</v>
      </c>
      <c r="E3">
        <f>Sheet2!E3*1000</f>
        <v>0</v>
      </c>
      <c r="F3">
        <f>Sheet2!F3*1000</f>
        <v>0</v>
      </c>
      <c r="G3">
        <f>Sheet2!G3*1000</f>
        <v>0</v>
      </c>
      <c r="H3">
        <f>Sheet2!H3*1000</f>
        <v>0</v>
      </c>
      <c r="I3">
        <f>Sheet2!I3*1000</f>
        <v>0</v>
      </c>
    </row>
    <row r="4" spans="1:9" x14ac:dyDescent="0.3">
      <c r="A4" t="s">
        <v>11</v>
      </c>
      <c r="B4">
        <f>Sheet2!B4*1000</f>
        <v>0</v>
      </c>
      <c r="C4">
        <f>Sheet2!C4*1000</f>
        <v>0</v>
      </c>
      <c r="D4">
        <f>Sheet2!D4*1000</f>
        <v>0</v>
      </c>
      <c r="E4">
        <f>Sheet2!E4*1000</f>
        <v>0</v>
      </c>
      <c r="F4">
        <f>Sheet2!F4*1000</f>
        <v>0</v>
      </c>
      <c r="G4">
        <f>Sheet2!G4*1000</f>
        <v>0</v>
      </c>
      <c r="H4">
        <f>Sheet2!H4*1000</f>
        <v>0</v>
      </c>
      <c r="I4">
        <f>Sheet2!I4*1000</f>
        <v>0</v>
      </c>
    </row>
    <row r="5" spans="1:9" x14ac:dyDescent="0.3">
      <c r="A5" t="s">
        <v>12</v>
      </c>
      <c r="B5">
        <f>Sheet2!B5*1000</f>
        <v>0</v>
      </c>
      <c r="C5">
        <f>Sheet2!C5*1000</f>
        <v>0</v>
      </c>
      <c r="D5">
        <f>Sheet2!D5*1000</f>
        <v>0</v>
      </c>
      <c r="E5">
        <f>Sheet2!E5*1000</f>
        <v>0</v>
      </c>
      <c r="F5">
        <f>Sheet2!F5*1000</f>
        <v>0</v>
      </c>
      <c r="G5">
        <f>Sheet2!G5*1000</f>
        <v>0</v>
      </c>
      <c r="H5">
        <f>Sheet2!H5*1000</f>
        <v>0</v>
      </c>
      <c r="I5">
        <f>Sheet2!I5*1000</f>
        <v>0</v>
      </c>
    </row>
    <row r="6" spans="1:9" x14ac:dyDescent="0.3">
      <c r="A6" t="s">
        <v>13</v>
      </c>
      <c r="B6">
        <f>Sheet2!B6*1000</f>
        <v>0</v>
      </c>
      <c r="C6">
        <f>Sheet2!C6*1000</f>
        <v>0</v>
      </c>
      <c r="D6">
        <f>Sheet2!D6*1000</f>
        <v>0</v>
      </c>
      <c r="E6">
        <f>Sheet2!E6*1000</f>
        <v>0</v>
      </c>
      <c r="F6">
        <f>Sheet2!F6*1000</f>
        <v>0</v>
      </c>
      <c r="G6">
        <f>Sheet2!G6*1000</f>
        <v>0</v>
      </c>
      <c r="H6">
        <f>Sheet2!H6*1000</f>
        <v>0</v>
      </c>
      <c r="I6">
        <f>Sheet2!I6*1000</f>
        <v>0</v>
      </c>
    </row>
    <row r="7" spans="1:9" x14ac:dyDescent="0.3">
      <c r="A7" t="s">
        <v>14</v>
      </c>
      <c r="B7">
        <f>Sheet2!B7*1000</f>
        <v>0</v>
      </c>
      <c r="C7">
        <f>Sheet2!C7*1000</f>
        <v>0</v>
      </c>
      <c r="D7">
        <f>Sheet2!D7*1000</f>
        <v>0</v>
      </c>
      <c r="E7">
        <f>Sheet2!E7*1000</f>
        <v>0</v>
      </c>
      <c r="F7">
        <f>Sheet2!F7*1000</f>
        <v>0</v>
      </c>
      <c r="G7">
        <f>Sheet2!G7*1000</f>
        <v>0</v>
      </c>
      <c r="H7">
        <f>Sheet2!H7*1000</f>
        <v>0</v>
      </c>
      <c r="I7">
        <f>Sheet2!I7*1000</f>
        <v>0</v>
      </c>
    </row>
    <row r="8" spans="1:9" x14ac:dyDescent="0.3">
      <c r="A8" t="s">
        <v>15</v>
      </c>
      <c r="B8">
        <f>Sheet2!B8*1000</f>
        <v>52518.400000000001</v>
      </c>
      <c r="C8">
        <f>Sheet2!C8*1000</f>
        <v>-68492.7</v>
      </c>
      <c r="D8">
        <f>Sheet2!D8*1000</f>
        <v>-131398.30000000002</v>
      </c>
      <c r="E8">
        <f>Sheet2!E8*1000</f>
        <v>-4690.4000000000005</v>
      </c>
      <c r="F8">
        <f>Sheet2!F8*1000</f>
        <v>-434223.4</v>
      </c>
      <c r="G8">
        <f>Sheet2!G8*1000</f>
        <v>30169.5</v>
      </c>
      <c r="H8">
        <f>Sheet2!H8*1000</f>
        <v>-1052.8999999999999</v>
      </c>
      <c r="I8">
        <f>Sheet2!I8*1000</f>
        <v>283.89999999999998</v>
      </c>
    </row>
    <row r="9" spans="1:9" x14ac:dyDescent="0.3">
      <c r="A9" t="s">
        <v>16</v>
      </c>
      <c r="B9">
        <f>Sheet2!B9*1000</f>
        <v>-106.1</v>
      </c>
      <c r="C9">
        <f>Sheet2!C9*1000</f>
        <v>-9.7999999999999989</v>
      </c>
      <c r="D9">
        <f>Sheet2!D9*1000</f>
        <v>-703.8</v>
      </c>
      <c r="E9">
        <f>Sheet2!E9*1000</f>
        <v>-40.300000000000004</v>
      </c>
      <c r="F9">
        <f>Sheet2!F9*1000</f>
        <v>-109.5</v>
      </c>
      <c r="G9">
        <f>Sheet2!G9*1000</f>
        <v>974.30000000000007</v>
      </c>
      <c r="H9">
        <f>Sheet2!H9*1000</f>
        <v>-12.1</v>
      </c>
      <c r="I9">
        <f>Sheet2!I9*1000</f>
        <v>44.3</v>
      </c>
    </row>
    <row r="10" spans="1:9" x14ac:dyDescent="0.3">
      <c r="A10" t="s">
        <v>17</v>
      </c>
      <c r="B10">
        <f>Sheet2!B10*1000</f>
        <v>1.8</v>
      </c>
      <c r="C10">
        <f>Sheet2!C10*1000</f>
        <v>14.4</v>
      </c>
      <c r="D10">
        <f>Sheet2!D10*1000</f>
        <v>6.4</v>
      </c>
      <c r="E10">
        <f>Sheet2!E10*1000</f>
        <v>326.40000000000003</v>
      </c>
      <c r="F10">
        <f>Sheet2!F10*1000</f>
        <v>-25.5</v>
      </c>
      <c r="G10">
        <f>Sheet2!G10*1000</f>
        <v>308.2</v>
      </c>
      <c r="H10">
        <f>Sheet2!H10*1000</f>
        <v>-77</v>
      </c>
      <c r="I10">
        <f>Sheet2!I10*1000</f>
        <v>-349.7</v>
      </c>
    </row>
    <row r="11" spans="1:9" x14ac:dyDescent="0.3">
      <c r="A11" t="s">
        <v>18</v>
      </c>
      <c r="B11">
        <f>Sheet2!B11*1000</f>
        <v>0</v>
      </c>
      <c r="C11">
        <f>Sheet2!C11*1000</f>
        <v>0</v>
      </c>
      <c r="D11">
        <f>Sheet2!D11*1000</f>
        <v>0</v>
      </c>
      <c r="E11">
        <f>Sheet2!E11*1000</f>
        <v>0</v>
      </c>
      <c r="F11">
        <f>Sheet2!F11*1000</f>
        <v>0</v>
      </c>
      <c r="G11">
        <f>Sheet2!G11*1000</f>
        <v>0</v>
      </c>
      <c r="H11">
        <f>Sheet2!H11*1000</f>
        <v>0</v>
      </c>
      <c r="I11">
        <f>Sheet2!I11*1000</f>
        <v>0</v>
      </c>
    </row>
    <row r="12" spans="1:9" x14ac:dyDescent="0.3">
      <c r="A12" t="s">
        <v>19</v>
      </c>
      <c r="B12">
        <f>Sheet2!B12*1000</f>
        <v>0</v>
      </c>
      <c r="C12">
        <f>Sheet2!C12*1000</f>
        <v>0</v>
      </c>
      <c r="D12">
        <f>Sheet2!D12*1000</f>
        <v>0</v>
      </c>
      <c r="E12">
        <f>Sheet2!E12*1000</f>
        <v>0</v>
      </c>
      <c r="F12">
        <f>Sheet2!F12*1000</f>
        <v>0</v>
      </c>
      <c r="G12">
        <f>Sheet2!G12*1000</f>
        <v>0</v>
      </c>
      <c r="H12">
        <f>Sheet2!H12*1000</f>
        <v>0</v>
      </c>
      <c r="I12">
        <f>Sheet2!I12*1000</f>
        <v>0</v>
      </c>
    </row>
    <row r="13" spans="1:9" x14ac:dyDescent="0.3">
      <c r="A13" t="s">
        <v>20</v>
      </c>
      <c r="B13">
        <f>Sheet2!B13*1000</f>
        <v>0</v>
      </c>
      <c r="C13">
        <f>Sheet2!C13*1000</f>
        <v>0</v>
      </c>
      <c r="D13">
        <f>Sheet2!D13*1000</f>
        <v>0</v>
      </c>
      <c r="E13">
        <f>Sheet2!E13*1000</f>
        <v>0</v>
      </c>
      <c r="F13">
        <f>Sheet2!F13*1000</f>
        <v>0</v>
      </c>
      <c r="G13">
        <f>Sheet2!G13*1000</f>
        <v>0</v>
      </c>
      <c r="H13">
        <f>Sheet2!H13*1000</f>
        <v>0</v>
      </c>
      <c r="I13">
        <f>Sheet2!I13*1000</f>
        <v>0</v>
      </c>
    </row>
    <row r="14" spans="1:9" x14ac:dyDescent="0.3">
      <c r="A14" t="s">
        <v>21</v>
      </c>
      <c r="B14">
        <f>Sheet2!B14*1000</f>
        <v>-34202.800000000003</v>
      </c>
      <c r="C14">
        <f>Sheet2!C14*1000</f>
        <v>-29851.600000000002</v>
      </c>
      <c r="D14">
        <f>Sheet2!D14*1000</f>
        <v>-145708.5</v>
      </c>
      <c r="E14">
        <f>Sheet2!E14*1000</f>
        <v>-23355.1</v>
      </c>
      <c r="F14">
        <f>Sheet2!F14*1000</f>
        <v>-265975.5</v>
      </c>
      <c r="G14">
        <f>Sheet2!G14*1000</f>
        <v>-306798</v>
      </c>
      <c r="H14">
        <f>Sheet2!H14*1000</f>
        <v>-7497.2000000000007</v>
      </c>
      <c r="I14">
        <f>Sheet2!I14*1000</f>
        <v>-14496.6</v>
      </c>
    </row>
    <row r="15" spans="1:9" x14ac:dyDescent="0.3">
      <c r="A15" t="s">
        <v>22</v>
      </c>
      <c r="B15">
        <f>Sheet2!B15*1000</f>
        <v>-8918.9000000000015</v>
      </c>
      <c r="C15">
        <f>Sheet2!C15*1000</f>
        <v>-3666.9</v>
      </c>
      <c r="D15">
        <f>Sheet2!D15*1000</f>
        <v>-250579.7</v>
      </c>
      <c r="E15">
        <f>Sheet2!E15*1000</f>
        <v>-5807.7</v>
      </c>
      <c r="F15">
        <f>Sheet2!F15*1000</f>
        <v>-781123.5</v>
      </c>
      <c r="G15">
        <f>Sheet2!G15*1000</f>
        <v>428169.2</v>
      </c>
      <c r="H15">
        <f>Sheet2!H15*1000</f>
        <v>-60349</v>
      </c>
      <c r="I15">
        <f>Sheet2!I15*1000</f>
        <v>4809</v>
      </c>
    </row>
    <row r="16" spans="1:9" x14ac:dyDescent="0.3">
      <c r="A16" t="s">
        <v>23</v>
      </c>
      <c r="B16">
        <f>Sheet2!B16*1000</f>
        <v>-19518.100000000002</v>
      </c>
      <c r="C16">
        <f>Sheet2!C16*1000</f>
        <v>-184.70000000000002</v>
      </c>
      <c r="D16">
        <f>Sheet2!D16*1000</f>
        <v>-15155.099999999999</v>
      </c>
      <c r="E16">
        <f>Sheet2!E16*1000</f>
        <v>1962.5</v>
      </c>
      <c r="F16">
        <f>Sheet2!F16*1000</f>
        <v>-62606.8</v>
      </c>
      <c r="G16">
        <f>Sheet2!G16*1000</f>
        <v>132868.5</v>
      </c>
      <c r="H16">
        <f>Sheet2!H16*1000</f>
        <v>-12829.4</v>
      </c>
      <c r="I16">
        <f>Sheet2!I16*1000</f>
        <v>714.9</v>
      </c>
    </row>
    <row r="17" spans="1:9" x14ac:dyDescent="0.3">
      <c r="A17" t="s">
        <v>24</v>
      </c>
      <c r="B17">
        <f>Sheet2!B17*1000</f>
        <v>-3703.1</v>
      </c>
      <c r="C17">
        <f>Sheet2!C17*1000</f>
        <v>-5.4</v>
      </c>
      <c r="D17">
        <f>Sheet2!D17*1000</f>
        <v>-1804.6</v>
      </c>
      <c r="E17">
        <f>Sheet2!E17*1000</f>
        <v>-918.90000000000009</v>
      </c>
      <c r="F17">
        <f>Sheet2!F17*1000</f>
        <v>-692.30000000000007</v>
      </c>
      <c r="G17">
        <f>Sheet2!G17*1000</f>
        <v>8980.4</v>
      </c>
      <c r="H17">
        <f>Sheet2!H17*1000</f>
        <v>-1687.2</v>
      </c>
      <c r="I17">
        <f>Sheet2!I17*1000</f>
        <v>4.4000000000000004</v>
      </c>
    </row>
    <row r="18" spans="1:9" x14ac:dyDescent="0.3">
      <c r="A18" t="s">
        <v>25</v>
      </c>
      <c r="B18">
        <f>Sheet2!B18*1000</f>
        <v>477.8</v>
      </c>
      <c r="C18">
        <f>Sheet2!C18*1000</f>
        <v>303.3</v>
      </c>
      <c r="D18">
        <f>Sheet2!D18*1000</f>
        <v>25370.899999999998</v>
      </c>
      <c r="E18">
        <f>Sheet2!E18*1000</f>
        <v>55158.6</v>
      </c>
      <c r="F18">
        <f>Sheet2!F18*1000</f>
        <v>-1488.6999999999998</v>
      </c>
      <c r="G18">
        <f>Sheet2!G18*1000</f>
        <v>6690.1</v>
      </c>
      <c r="H18">
        <f>Sheet2!H18*1000</f>
        <v>-4965.7</v>
      </c>
      <c r="I18">
        <f>Sheet2!I18*1000</f>
        <v>-174.4</v>
      </c>
    </row>
    <row r="19" spans="1:9" x14ac:dyDescent="0.3">
      <c r="A19" t="s">
        <v>26</v>
      </c>
      <c r="B19">
        <f>Sheet2!B19*1000</f>
        <v>18.100000000000001</v>
      </c>
      <c r="C19">
        <f>Sheet2!C19*1000</f>
        <v>0</v>
      </c>
      <c r="D19">
        <f>Sheet2!D19*1000</f>
        <v>562.6</v>
      </c>
      <c r="E19">
        <f>Sheet2!E19*1000</f>
        <v>2526.6999999999998</v>
      </c>
      <c r="F19">
        <f>Sheet2!F19*1000</f>
        <v>-77.399999999999991</v>
      </c>
      <c r="G19">
        <f>Sheet2!G19*1000</f>
        <v>2861.4</v>
      </c>
      <c r="H19">
        <f>Sheet2!H19*1000</f>
        <v>-498</v>
      </c>
      <c r="I19">
        <f>Sheet2!I19*1000</f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A826-E724-4330-86AF-208DFED395DE}">
  <dimension ref="A1:H19"/>
  <sheetViews>
    <sheetView topLeftCell="A3" workbookViewId="0">
      <selection activeCell="K8" sqref="K8:R28"/>
    </sheetView>
  </sheetViews>
  <sheetFormatPr defaultRowHeight="14.4" x14ac:dyDescent="0.3"/>
  <sheetData>
    <row r="1" spans="1:8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15</v>
      </c>
      <c r="B8">
        <v>12.888299999999999</v>
      </c>
      <c r="C8">
        <v>0</v>
      </c>
      <c r="D8">
        <v>0</v>
      </c>
      <c r="E8">
        <v>-4.6871</v>
      </c>
      <c r="F8">
        <v>-0.65400000000000003</v>
      </c>
      <c r="G8">
        <v>0</v>
      </c>
      <c r="H8">
        <v>0</v>
      </c>
    </row>
    <row r="9" spans="1:8" x14ac:dyDescent="0.3">
      <c r="A9" t="s">
        <v>16</v>
      </c>
      <c r="B9">
        <v>2.1999999999999999E-2</v>
      </c>
      <c r="C9">
        <v>0</v>
      </c>
      <c r="D9">
        <v>0</v>
      </c>
      <c r="E9">
        <v>4.6199999999999998E-2</v>
      </c>
      <c r="F9">
        <v>-2.3599999999999999E-2</v>
      </c>
      <c r="G9">
        <v>0</v>
      </c>
      <c r="H9">
        <v>0</v>
      </c>
    </row>
    <row r="10" spans="1:8" x14ac:dyDescent="0.3">
      <c r="A10" t="s">
        <v>17</v>
      </c>
      <c r="B10">
        <v>-39.011200000000002</v>
      </c>
      <c r="C10">
        <v>0</v>
      </c>
      <c r="D10">
        <v>0</v>
      </c>
      <c r="E10">
        <v>14.817399999999999</v>
      </c>
      <c r="F10">
        <v>-47.356000000000002</v>
      </c>
      <c r="G10">
        <v>0</v>
      </c>
      <c r="H10">
        <v>0</v>
      </c>
    </row>
    <row r="11" spans="1:8" x14ac:dyDescent="0.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21</v>
      </c>
      <c r="B14">
        <v>2.5829</v>
      </c>
      <c r="C14">
        <v>0</v>
      </c>
      <c r="D14">
        <v>0</v>
      </c>
      <c r="E14">
        <v>-5.4347000000000003</v>
      </c>
      <c r="F14">
        <v>-5.9673999999999996</v>
      </c>
      <c r="G14">
        <v>0</v>
      </c>
      <c r="H14">
        <v>0</v>
      </c>
    </row>
    <row r="15" spans="1:8" x14ac:dyDescent="0.3">
      <c r="A15" t="s">
        <v>22</v>
      </c>
      <c r="B15">
        <v>8.1611999999999991</v>
      </c>
      <c r="C15">
        <v>0</v>
      </c>
      <c r="D15">
        <v>0</v>
      </c>
      <c r="E15">
        <v>-3.4195000000000002</v>
      </c>
      <c r="F15">
        <v>-2.9548000000000001</v>
      </c>
      <c r="G15">
        <v>0</v>
      </c>
      <c r="H15">
        <v>0</v>
      </c>
    </row>
    <row r="16" spans="1:8" x14ac:dyDescent="0.3">
      <c r="A16" t="s">
        <v>23</v>
      </c>
      <c r="B16">
        <v>9.5708000000000002</v>
      </c>
      <c r="C16">
        <v>0</v>
      </c>
      <c r="D16">
        <v>0</v>
      </c>
      <c r="E16">
        <v>0.22850000000000001</v>
      </c>
      <c r="F16">
        <v>-1.9999</v>
      </c>
      <c r="G16">
        <v>0</v>
      </c>
      <c r="H16">
        <v>0</v>
      </c>
    </row>
    <row r="17" spans="1:8" x14ac:dyDescent="0.3">
      <c r="A17" t="s">
        <v>24</v>
      </c>
      <c r="B17">
        <v>3.3E-3</v>
      </c>
      <c r="C17">
        <v>0</v>
      </c>
      <c r="D17">
        <v>0</v>
      </c>
      <c r="E17">
        <v>3.3999999999999998E-3</v>
      </c>
      <c r="F17">
        <v>-2.2000000000000001E-3</v>
      </c>
      <c r="G17">
        <v>0</v>
      </c>
      <c r="H17">
        <v>0</v>
      </c>
    </row>
    <row r="18" spans="1:8" x14ac:dyDescent="0.3">
      <c r="A18" t="s">
        <v>25</v>
      </c>
      <c r="B18">
        <v>-2.7429999999999999</v>
      </c>
      <c r="C18">
        <v>0</v>
      </c>
      <c r="D18">
        <v>0</v>
      </c>
      <c r="E18">
        <v>24.2072</v>
      </c>
      <c r="F18">
        <v>-13.5535</v>
      </c>
      <c r="G18">
        <v>0</v>
      </c>
      <c r="H18">
        <v>0</v>
      </c>
    </row>
    <row r="19" spans="1:8" x14ac:dyDescent="0.3">
      <c r="A19" t="s">
        <v>26</v>
      </c>
      <c r="B19">
        <v>7.2431000000000001</v>
      </c>
      <c r="C19">
        <v>0</v>
      </c>
      <c r="D19">
        <v>0</v>
      </c>
      <c r="E19">
        <v>7.1069000000000004</v>
      </c>
      <c r="F19">
        <v>-4.1295999999999999</v>
      </c>
      <c r="G19">
        <v>0</v>
      </c>
      <c r="H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4781-DFD6-42BD-B3F6-FA59E37126C4}">
  <dimension ref="A1:T27"/>
  <sheetViews>
    <sheetView workbookViewId="0">
      <selection activeCell="L8" sqref="L8:T8"/>
    </sheetView>
  </sheetViews>
  <sheetFormatPr defaultRowHeight="14.4" x14ac:dyDescent="0.3"/>
  <sheetData>
    <row r="1" spans="1:20" x14ac:dyDescent="0.3">
      <c r="A1" t="s">
        <v>37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28</v>
      </c>
    </row>
    <row r="2" spans="1:20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20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0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20" x14ac:dyDescent="0.3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20" x14ac:dyDescent="0.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20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0" x14ac:dyDescent="0.3">
      <c r="A8" t="s">
        <v>15</v>
      </c>
      <c r="B8">
        <v>654.81020000000001</v>
      </c>
      <c r="C8">
        <v>0</v>
      </c>
      <c r="D8">
        <v>0</v>
      </c>
      <c r="E8">
        <v>-556.88630000000001</v>
      </c>
      <c r="F8">
        <v>-97.924400000000006</v>
      </c>
      <c r="G8">
        <v>0</v>
      </c>
      <c r="H8">
        <v>0</v>
      </c>
      <c r="I8">
        <v>0</v>
      </c>
    </row>
    <row r="9" spans="1:20" x14ac:dyDescent="0.3">
      <c r="A9" t="s">
        <v>16</v>
      </c>
      <c r="B9">
        <v>0</v>
      </c>
      <c r="C9">
        <v>0</v>
      </c>
      <c r="D9">
        <v>0</v>
      </c>
      <c r="E9">
        <v>3.6999999999999998E-2</v>
      </c>
      <c r="F9">
        <v>-3.6999999999999998E-2</v>
      </c>
      <c r="G9">
        <v>0</v>
      </c>
      <c r="H9">
        <v>0</v>
      </c>
      <c r="I9">
        <v>0</v>
      </c>
      <c r="M9" t="s">
        <v>60</v>
      </c>
      <c r="N9" t="s">
        <v>57</v>
      </c>
      <c r="O9" t="s">
        <v>58</v>
      </c>
      <c r="P9" t="s">
        <v>32</v>
      </c>
      <c r="Q9" t="s">
        <v>33</v>
      </c>
      <c r="R9" t="s">
        <v>59</v>
      </c>
      <c r="S9" t="s">
        <v>35</v>
      </c>
      <c r="T9" t="s">
        <v>36</v>
      </c>
    </row>
    <row r="10" spans="1:20" x14ac:dyDescent="0.3">
      <c r="A10" t="s">
        <v>17</v>
      </c>
      <c r="B10">
        <v>0</v>
      </c>
      <c r="C10">
        <v>0</v>
      </c>
      <c r="D10">
        <v>0</v>
      </c>
      <c r="E10">
        <v>0.2051</v>
      </c>
      <c r="F10">
        <v>-0.2051</v>
      </c>
      <c r="G10">
        <v>0</v>
      </c>
      <c r="H10">
        <v>0</v>
      </c>
      <c r="I10">
        <v>0</v>
      </c>
      <c r="M10" t="s">
        <v>39</v>
      </c>
      <c r="N10">
        <v>0</v>
      </c>
      <c r="O10">
        <v>0</v>
      </c>
      <c r="P10">
        <v>0</v>
      </c>
      <c r="Q10">
        <v>5.3948999999999998</v>
      </c>
      <c r="R10">
        <v>-5.3948999999999998</v>
      </c>
      <c r="S10">
        <v>0</v>
      </c>
      <c r="T10">
        <v>0</v>
      </c>
    </row>
    <row r="11" spans="1:20" x14ac:dyDescent="0.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 t="s">
        <v>40</v>
      </c>
      <c r="N11">
        <v>0</v>
      </c>
      <c r="O11">
        <v>0</v>
      </c>
      <c r="P11">
        <v>0</v>
      </c>
      <c r="Q11">
        <v>81.371899999999997</v>
      </c>
      <c r="R11">
        <v>-81.371899999999997</v>
      </c>
      <c r="S11">
        <v>0</v>
      </c>
      <c r="T11">
        <v>0</v>
      </c>
    </row>
    <row r="12" spans="1:20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M12" t="s">
        <v>41</v>
      </c>
      <c r="N12">
        <v>0</v>
      </c>
      <c r="O12">
        <v>0</v>
      </c>
      <c r="P12">
        <v>0</v>
      </c>
      <c r="Q12">
        <v>0.17319999999999999</v>
      </c>
      <c r="R12">
        <v>-0.17319999999999999</v>
      </c>
      <c r="S12">
        <v>0</v>
      </c>
      <c r="T12">
        <v>0</v>
      </c>
    </row>
    <row r="13" spans="1:2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 t="s">
        <v>42</v>
      </c>
      <c r="N13">
        <v>715.55430000000001</v>
      </c>
      <c r="O13">
        <v>0</v>
      </c>
      <c r="P13">
        <v>0</v>
      </c>
      <c r="Q13">
        <v>25.251899999999999</v>
      </c>
      <c r="R13">
        <v>-740.80600000000004</v>
      </c>
      <c r="S13">
        <v>0</v>
      </c>
      <c r="T13">
        <v>0</v>
      </c>
    </row>
    <row r="14" spans="1:20" x14ac:dyDescent="0.3">
      <c r="A14" t="s">
        <v>21</v>
      </c>
      <c r="B14">
        <v>2714.4097000000002</v>
      </c>
      <c r="C14">
        <v>0</v>
      </c>
      <c r="D14">
        <v>0</v>
      </c>
      <c r="E14">
        <v>-827.8854</v>
      </c>
      <c r="F14">
        <v>-1886.5245</v>
      </c>
      <c r="G14">
        <v>0</v>
      </c>
      <c r="H14">
        <v>0</v>
      </c>
      <c r="I14">
        <v>0</v>
      </c>
      <c r="M14" t="s">
        <v>43</v>
      </c>
      <c r="N14">
        <v>2908.5659000000001</v>
      </c>
      <c r="O14">
        <v>0</v>
      </c>
      <c r="P14">
        <v>0</v>
      </c>
      <c r="Q14">
        <v>-677.46699999999998</v>
      </c>
      <c r="R14">
        <v>-2231.0979000000002</v>
      </c>
      <c r="S14">
        <v>0</v>
      </c>
      <c r="T14">
        <v>0</v>
      </c>
    </row>
    <row r="15" spans="1:20" x14ac:dyDescent="0.3">
      <c r="A15" t="s">
        <v>22</v>
      </c>
      <c r="B15">
        <v>2908.5659000000001</v>
      </c>
      <c r="C15">
        <v>0</v>
      </c>
      <c r="D15">
        <v>0</v>
      </c>
      <c r="E15">
        <v>-677.46699999999998</v>
      </c>
      <c r="F15">
        <v>-2231.0979000000002</v>
      </c>
      <c r="G15">
        <v>0</v>
      </c>
      <c r="H15">
        <v>0</v>
      </c>
      <c r="I15">
        <v>0</v>
      </c>
      <c r="M15" t="s">
        <v>44</v>
      </c>
      <c r="N15">
        <v>2714.4097000000002</v>
      </c>
      <c r="O15">
        <v>0</v>
      </c>
      <c r="P15">
        <v>0</v>
      </c>
      <c r="Q15">
        <v>-827.8854</v>
      </c>
      <c r="R15">
        <v>-1886.5245</v>
      </c>
      <c r="S15">
        <v>0</v>
      </c>
      <c r="T15">
        <v>0</v>
      </c>
    </row>
    <row r="16" spans="1:20" x14ac:dyDescent="0.3">
      <c r="A16" t="s">
        <v>23</v>
      </c>
      <c r="B16">
        <v>715.55430000000001</v>
      </c>
      <c r="C16">
        <v>0</v>
      </c>
      <c r="D16">
        <v>0</v>
      </c>
      <c r="E16">
        <v>25.251899999999999</v>
      </c>
      <c r="F16">
        <v>-740.80600000000004</v>
      </c>
      <c r="G16">
        <v>0</v>
      </c>
      <c r="H16">
        <v>0</v>
      </c>
      <c r="I16">
        <v>0</v>
      </c>
      <c r="M16" t="s">
        <v>45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t="s">
        <v>24</v>
      </c>
      <c r="B17">
        <v>0</v>
      </c>
      <c r="C17">
        <v>0</v>
      </c>
      <c r="D17">
        <v>0</v>
      </c>
      <c r="E17">
        <v>0.17319999999999999</v>
      </c>
      <c r="F17">
        <v>-0.17319999999999999</v>
      </c>
      <c r="G17">
        <v>0</v>
      </c>
      <c r="H17">
        <v>0</v>
      </c>
      <c r="I17">
        <v>0</v>
      </c>
      <c r="M17" t="s">
        <v>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25</v>
      </c>
      <c r="B18">
        <v>0</v>
      </c>
      <c r="C18">
        <v>0</v>
      </c>
      <c r="D18">
        <v>0</v>
      </c>
      <c r="E18">
        <v>81.371899999999997</v>
      </c>
      <c r="F18">
        <v>-81.371899999999997</v>
      </c>
      <c r="G18">
        <v>0</v>
      </c>
      <c r="H18">
        <v>0</v>
      </c>
      <c r="I18">
        <v>0</v>
      </c>
      <c r="M18" t="s">
        <v>47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26</v>
      </c>
      <c r="B19">
        <v>0</v>
      </c>
      <c r="C19">
        <v>0</v>
      </c>
      <c r="D19">
        <v>0</v>
      </c>
      <c r="E19">
        <v>5.3948999999999998</v>
      </c>
      <c r="F19">
        <v>-5.3948999999999998</v>
      </c>
      <c r="G19">
        <v>0</v>
      </c>
      <c r="H19">
        <v>0</v>
      </c>
      <c r="I19">
        <v>0</v>
      </c>
      <c r="M19" t="s">
        <v>48</v>
      </c>
      <c r="N19">
        <v>0</v>
      </c>
      <c r="O19">
        <v>0</v>
      </c>
      <c r="P19">
        <v>0</v>
      </c>
      <c r="Q19">
        <v>0.2051</v>
      </c>
      <c r="R19">
        <v>-0.2051</v>
      </c>
      <c r="S19">
        <v>0</v>
      </c>
      <c r="T19">
        <v>0</v>
      </c>
    </row>
    <row r="20" spans="1:20" x14ac:dyDescent="0.3">
      <c r="A20" t="s">
        <v>28</v>
      </c>
      <c r="B20">
        <v>6915</v>
      </c>
      <c r="C20">
        <v>0</v>
      </c>
      <c r="D20">
        <v>0</v>
      </c>
      <c r="E20">
        <v>-1575</v>
      </c>
      <c r="F20">
        <v>-5341</v>
      </c>
      <c r="G20">
        <v>0</v>
      </c>
      <c r="H20">
        <v>0</v>
      </c>
      <c r="I20">
        <v>0</v>
      </c>
      <c r="M20" t="s">
        <v>49</v>
      </c>
      <c r="N20">
        <v>0</v>
      </c>
      <c r="O20">
        <v>0</v>
      </c>
      <c r="P20">
        <v>0</v>
      </c>
      <c r="Q20">
        <v>3.6999999999999998E-2</v>
      </c>
      <c r="R20">
        <v>-3.6999999999999998E-2</v>
      </c>
      <c r="S20">
        <v>0</v>
      </c>
      <c r="T20">
        <v>0</v>
      </c>
    </row>
    <row r="21" spans="1:20" x14ac:dyDescent="0.3">
      <c r="M21" t="s">
        <v>50</v>
      </c>
      <c r="N21">
        <v>654.81020000000001</v>
      </c>
      <c r="O21">
        <v>0</v>
      </c>
      <c r="P21">
        <v>0</v>
      </c>
      <c r="Q21">
        <v>-556.88630000000001</v>
      </c>
      <c r="R21">
        <v>-97.924400000000006</v>
      </c>
      <c r="S21">
        <v>0</v>
      </c>
      <c r="T21">
        <v>0</v>
      </c>
    </row>
    <row r="22" spans="1:20" x14ac:dyDescent="0.3">
      <c r="M22" t="s">
        <v>51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M23" t="s">
        <v>52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M24" t="s">
        <v>53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M25" t="s">
        <v>54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">
      <c r="M26" t="s">
        <v>55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M27" t="s">
        <v>56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0F5F-CF5F-4E7B-A6AB-29A67BF8D583}">
  <dimension ref="A1:B19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t="s">
        <v>37</v>
      </c>
      <c r="B1" t="str">
        <f>Sheet5!F1</f>
        <v>5 ruminant</v>
      </c>
    </row>
    <row r="2" spans="1:2" x14ac:dyDescent="0.3">
      <c r="A2" t="s">
        <v>9</v>
      </c>
      <c r="B2">
        <f>Sheet5!F2*1000</f>
        <v>0</v>
      </c>
    </row>
    <row r="3" spans="1:2" x14ac:dyDescent="0.3">
      <c r="A3" t="s">
        <v>10</v>
      </c>
      <c r="B3">
        <f>Sheet5!F3*1000</f>
        <v>0</v>
      </c>
    </row>
    <row r="4" spans="1:2" x14ac:dyDescent="0.3">
      <c r="A4" t="s">
        <v>11</v>
      </c>
      <c r="B4">
        <f>Sheet5!F4*1000</f>
        <v>0</v>
      </c>
    </row>
    <row r="5" spans="1:2" x14ac:dyDescent="0.3">
      <c r="A5" t="s">
        <v>12</v>
      </c>
      <c r="B5">
        <f>Sheet5!F5*1000</f>
        <v>0</v>
      </c>
    </row>
    <row r="6" spans="1:2" x14ac:dyDescent="0.3">
      <c r="A6" t="s">
        <v>13</v>
      </c>
      <c r="B6">
        <f>Sheet5!F6*1000</f>
        <v>0</v>
      </c>
    </row>
    <row r="7" spans="1:2" x14ac:dyDescent="0.3">
      <c r="A7" t="s">
        <v>14</v>
      </c>
      <c r="B7">
        <f>Sheet5!F7*1000</f>
        <v>0</v>
      </c>
    </row>
    <row r="8" spans="1:2" x14ac:dyDescent="0.3">
      <c r="A8" t="s">
        <v>15</v>
      </c>
      <c r="B8">
        <f>Sheet5!F8*1000</f>
        <v>-97924.400000000009</v>
      </c>
    </row>
    <row r="9" spans="1:2" x14ac:dyDescent="0.3">
      <c r="A9" t="s">
        <v>16</v>
      </c>
      <c r="B9">
        <f>Sheet5!F9*1000</f>
        <v>-37</v>
      </c>
    </row>
    <row r="10" spans="1:2" x14ac:dyDescent="0.3">
      <c r="A10" t="s">
        <v>17</v>
      </c>
      <c r="B10">
        <f>Sheet5!F10*1000</f>
        <v>-205.1</v>
      </c>
    </row>
    <row r="11" spans="1:2" x14ac:dyDescent="0.3">
      <c r="A11" t="s">
        <v>18</v>
      </c>
      <c r="B11">
        <f>Sheet5!F11*1000</f>
        <v>0</v>
      </c>
    </row>
    <row r="12" spans="1:2" x14ac:dyDescent="0.3">
      <c r="A12" t="s">
        <v>19</v>
      </c>
      <c r="B12">
        <f>Sheet5!F12*1000</f>
        <v>0</v>
      </c>
    </row>
    <row r="13" spans="1:2" x14ac:dyDescent="0.3">
      <c r="A13" t="s">
        <v>20</v>
      </c>
      <c r="B13">
        <f>Sheet5!F13*1000</f>
        <v>0</v>
      </c>
    </row>
    <row r="14" spans="1:2" x14ac:dyDescent="0.3">
      <c r="A14" t="s">
        <v>21</v>
      </c>
      <c r="B14">
        <f>Sheet5!F14*1000</f>
        <v>-1886524.5</v>
      </c>
    </row>
    <row r="15" spans="1:2" x14ac:dyDescent="0.3">
      <c r="A15" t="s">
        <v>22</v>
      </c>
      <c r="B15">
        <f>Sheet5!F15*1000</f>
        <v>-2231097.9000000004</v>
      </c>
    </row>
    <row r="16" spans="1:2" x14ac:dyDescent="0.3">
      <c r="A16" t="s">
        <v>23</v>
      </c>
      <c r="B16">
        <f>Sheet5!F16*1000</f>
        <v>-740806</v>
      </c>
    </row>
    <row r="17" spans="1:2" x14ac:dyDescent="0.3">
      <c r="A17" t="s">
        <v>24</v>
      </c>
      <c r="B17">
        <f>Sheet5!F17*1000</f>
        <v>-173.2</v>
      </c>
    </row>
    <row r="18" spans="1:2" x14ac:dyDescent="0.3">
      <c r="A18" t="s">
        <v>25</v>
      </c>
      <c r="B18">
        <f>Sheet5!F18*1000</f>
        <v>-81371.899999999994</v>
      </c>
    </row>
    <row r="19" spans="1:2" x14ac:dyDescent="0.3">
      <c r="A19" t="s">
        <v>26</v>
      </c>
      <c r="B19">
        <f>Sheet5!F19*1000</f>
        <v>-5394.9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C7E5-AA28-4CAA-8D2F-1B0AB387BF32}">
  <dimension ref="A1:B19"/>
  <sheetViews>
    <sheetView workbookViewId="0">
      <selection activeCell="B5" sqref="B5:B19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9</v>
      </c>
      <c r="B2">
        <f>Sheet5!B2*1000</f>
        <v>0</v>
      </c>
    </row>
    <row r="3" spans="1:2" x14ac:dyDescent="0.3">
      <c r="A3" t="s">
        <v>10</v>
      </c>
      <c r="B3">
        <f>Sheet5!B3*1000</f>
        <v>0</v>
      </c>
    </row>
    <row r="4" spans="1:2" x14ac:dyDescent="0.3">
      <c r="A4" t="s">
        <v>11</v>
      </c>
      <c r="B4">
        <f>Sheet5!B4*1000</f>
        <v>0</v>
      </c>
    </row>
    <row r="5" spans="1:2" x14ac:dyDescent="0.3">
      <c r="A5" t="s">
        <v>12</v>
      </c>
      <c r="B5">
        <f>Sheet5!B5*1000</f>
        <v>0</v>
      </c>
    </row>
    <row r="6" spans="1:2" x14ac:dyDescent="0.3">
      <c r="A6" t="s">
        <v>13</v>
      </c>
      <c r="B6">
        <f>Sheet5!B6*1000</f>
        <v>0</v>
      </c>
    </row>
    <row r="7" spans="1:2" x14ac:dyDescent="0.3">
      <c r="A7" t="s">
        <v>14</v>
      </c>
      <c r="B7">
        <f>Sheet5!B7*1000</f>
        <v>0</v>
      </c>
    </row>
    <row r="8" spans="1:2" x14ac:dyDescent="0.3">
      <c r="A8" t="s">
        <v>15</v>
      </c>
      <c r="B8">
        <f>Sheet5!B8*1000</f>
        <v>654810.19999999995</v>
      </c>
    </row>
    <row r="9" spans="1:2" x14ac:dyDescent="0.3">
      <c r="A9" t="s">
        <v>16</v>
      </c>
      <c r="B9">
        <f>Sheet5!B9*1000</f>
        <v>0</v>
      </c>
    </row>
    <row r="10" spans="1:2" x14ac:dyDescent="0.3">
      <c r="A10" t="s">
        <v>17</v>
      </c>
      <c r="B10">
        <f>Sheet5!B10*1000</f>
        <v>0</v>
      </c>
    </row>
    <row r="11" spans="1:2" x14ac:dyDescent="0.3">
      <c r="A11" t="s">
        <v>18</v>
      </c>
      <c r="B11">
        <f>Sheet5!B11*1000</f>
        <v>0</v>
      </c>
    </row>
    <row r="12" spans="1:2" x14ac:dyDescent="0.3">
      <c r="A12" t="s">
        <v>19</v>
      </c>
      <c r="B12">
        <f>Sheet5!B12*1000</f>
        <v>0</v>
      </c>
    </row>
    <row r="13" spans="1:2" x14ac:dyDescent="0.3">
      <c r="A13" t="s">
        <v>20</v>
      </c>
      <c r="B13">
        <f>Sheet5!B13*1000</f>
        <v>0</v>
      </c>
    </row>
    <row r="14" spans="1:2" x14ac:dyDescent="0.3">
      <c r="A14" t="s">
        <v>21</v>
      </c>
      <c r="B14">
        <f>Sheet5!B14*1000</f>
        <v>2714409.7</v>
      </c>
    </row>
    <row r="15" spans="1:2" x14ac:dyDescent="0.3">
      <c r="A15" t="s">
        <v>22</v>
      </c>
      <c r="B15">
        <f>Sheet5!B15*1000</f>
        <v>2908565.9</v>
      </c>
    </row>
    <row r="16" spans="1:2" x14ac:dyDescent="0.3">
      <c r="A16" t="s">
        <v>23</v>
      </c>
      <c r="B16">
        <f>Sheet5!B16*1000</f>
        <v>715554.3</v>
      </c>
    </row>
    <row r="17" spans="1:2" x14ac:dyDescent="0.3">
      <c r="A17" t="s">
        <v>24</v>
      </c>
      <c r="B17">
        <f>Sheet5!B17*1000</f>
        <v>0</v>
      </c>
    </row>
    <row r="18" spans="1:2" x14ac:dyDescent="0.3">
      <c r="A18" t="s">
        <v>25</v>
      </c>
      <c r="B18">
        <f>Sheet5!B18*1000</f>
        <v>0</v>
      </c>
    </row>
    <row r="19" spans="1:2" x14ac:dyDescent="0.3">
      <c r="A19" t="s">
        <v>26</v>
      </c>
      <c r="B19">
        <f>Sheet5!B19*1000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p_HARVSTAREA_L</vt:lpstr>
      <vt:lpstr>Sheet2</vt:lpstr>
      <vt:lpstr>cHARVSTAREA</vt:lpstr>
      <vt:lpstr>p_LANDCOVER_L</vt:lpstr>
      <vt:lpstr>Sheet5</vt:lpstr>
      <vt:lpstr>Ruminant</vt:lpstr>
      <vt:lpstr>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Berthet</dc:creator>
  <cp:lastModifiedBy>Etienne Berthet</cp:lastModifiedBy>
  <dcterms:created xsi:type="dcterms:W3CDTF">2025-01-31T20:45:20Z</dcterms:created>
  <dcterms:modified xsi:type="dcterms:W3CDTF">2025-12-17T18:46:59Z</dcterms:modified>
</cp:coreProperties>
</file>