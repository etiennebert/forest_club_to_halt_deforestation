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"/>
    </mc:Choice>
  </mc:AlternateContent>
  <xr:revisionPtr revIDLastSave="0" documentId="13_ncr:1_{A4150E23-ECC5-48DC-9D0B-191D51EF585E}" xr6:coauthVersionLast="47" xr6:coauthVersionMax="47" xr10:uidLastSave="{00000000-0000-0000-0000-000000000000}"/>
  <bookViews>
    <workbookView xWindow="-108" yWindow="-108" windowWidth="23256" windowHeight="12456" xr2:uid="{1BE1B400-F79A-4081-9485-F0F2366A7D5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C2" i="1"/>
  <c r="D2" i="1"/>
  <c r="E2" i="1"/>
  <c r="F2" i="1"/>
  <c r="G2" i="1"/>
  <c r="H2" i="1"/>
  <c r="I2" i="1"/>
  <c r="J2" i="1"/>
  <c r="B2" i="1"/>
</calcChain>
</file>

<file path=xl/sharedStrings.xml><?xml version="1.0" encoding="utf-8"?>
<sst xmlns="http://schemas.openxmlformats.org/spreadsheetml/2006/main" count="24" uniqueCount="24">
  <si>
    <t>Country</t>
  </si>
  <si>
    <t>sgr</t>
  </si>
  <si>
    <t>ruminant</t>
  </si>
  <si>
    <t>gro</t>
  </si>
  <si>
    <t>ocr</t>
  </si>
  <si>
    <t>osd</t>
  </si>
  <si>
    <t>pcr</t>
  </si>
  <si>
    <t>pfb</t>
  </si>
  <si>
    <t>v_f</t>
  </si>
  <si>
    <t>wht</t>
  </si>
  <si>
    <t xml:space="preserve">brasil     </t>
  </si>
  <si>
    <t xml:space="preserve">indonesia  </t>
  </si>
  <si>
    <t xml:space="preserve">argentina  </t>
  </si>
  <si>
    <t xml:space="preserve">bolivia    </t>
  </si>
  <si>
    <t xml:space="preserve">colombia   </t>
  </si>
  <si>
    <t xml:space="preserve">ghana      </t>
  </si>
  <si>
    <t xml:space="preserve">ivorycoast </t>
  </si>
  <si>
    <t xml:space="preserve">malasya    </t>
  </si>
  <si>
    <t xml:space="preserve">paraguay   </t>
  </si>
  <si>
    <t xml:space="preserve">peru       </t>
  </si>
  <si>
    <t>drc</t>
  </si>
  <si>
    <t>angola</t>
  </si>
  <si>
    <t>rmk</t>
  </si>
  <si>
    <t>wol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</si>
</sst>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etber_mit_edu/Documents/Documents/Deforestation_Nature/Forest_Club_SI/1.%20Data/3.%20GTAPAEZ_Deforestation_coefficient/Database_Forest_Intensity_GTAPAEZ_shocks_final.xlsx" TargetMode="External"/><Relationship Id="rId1" Type="http://schemas.openxmlformats.org/officeDocument/2006/relationships/externalLinkPath" Target="https://mitprod-my.sharepoint.com/personal/etber_mit_edu/Documents/Documents/Deforestation_Nature/Forest_Club_SI/1.%20Data/3.%20GTAPAEZ_Deforestation_coefficient/Database_Forest_Intensity_GTAPAEZ_shock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ditional_LU_and_deforestation"/>
      <sheetName val="Land_Cover"/>
      <sheetName val="Land_Cover_MIN_MAX"/>
      <sheetName val="GTAP_area"/>
      <sheetName val="Sheet3"/>
      <sheetName val="Sheet4"/>
      <sheetName val="Shocks_GlobalTarf_qxw"/>
      <sheetName val="Shocks_tmf_f"/>
      <sheetName val="Sheet1"/>
      <sheetName val="Shocks_tmf_f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1">
          <cell r="C41">
            <v>1.1000000000000001</v>
          </cell>
          <cell r="D41">
            <v>1.1000000000000001</v>
          </cell>
          <cell r="E41">
            <v>3</v>
          </cell>
          <cell r="F41">
            <v>1.6</v>
          </cell>
          <cell r="G41">
            <v>3</v>
          </cell>
          <cell r="H41">
            <v>0.4</v>
          </cell>
          <cell r="I41">
            <v>2.6</v>
          </cell>
          <cell r="J41">
            <v>1.2</v>
          </cell>
          <cell r="K41">
            <v>1.4</v>
          </cell>
        </row>
        <row r="42">
          <cell r="C42">
            <v>0.9</v>
          </cell>
          <cell r="D42">
            <v>0.7</v>
          </cell>
          <cell r="E42">
            <v>5.5</v>
          </cell>
          <cell r="F42">
            <v>1.3</v>
          </cell>
          <cell r="G42">
            <v>4.8</v>
          </cell>
          <cell r="H42">
            <v>0.4</v>
          </cell>
          <cell r="I42">
            <v>12.9</v>
          </cell>
          <cell r="J42">
            <v>0.7</v>
          </cell>
          <cell r="K42">
            <v>0</v>
          </cell>
        </row>
        <row r="43">
          <cell r="C43">
            <v>0.5</v>
          </cell>
          <cell r="D43">
            <v>4.3</v>
          </cell>
          <cell r="E43">
            <v>2.5</v>
          </cell>
          <cell r="F43">
            <v>1</v>
          </cell>
          <cell r="G43">
            <v>1.3</v>
          </cell>
          <cell r="H43">
            <v>1.8</v>
          </cell>
          <cell r="I43">
            <v>1.6</v>
          </cell>
          <cell r="J43">
            <v>0.8</v>
          </cell>
          <cell r="K43">
            <v>0.8</v>
          </cell>
        </row>
        <row r="44">
          <cell r="C44">
            <v>3.3</v>
          </cell>
          <cell r="D44">
            <v>1.4</v>
          </cell>
          <cell r="E44">
            <v>15.7</v>
          </cell>
          <cell r="F44">
            <v>3.7</v>
          </cell>
          <cell r="G44">
            <v>4.2</v>
          </cell>
          <cell r="H44">
            <v>3.9</v>
          </cell>
          <cell r="I44">
            <v>10.199999999999999</v>
          </cell>
          <cell r="J44">
            <v>2.7</v>
          </cell>
          <cell r="K44">
            <v>4.9000000000000004</v>
          </cell>
        </row>
        <row r="45">
          <cell r="C45">
            <v>1.9</v>
          </cell>
          <cell r="D45">
            <v>1.5</v>
          </cell>
          <cell r="E45">
            <v>4.0999999999999996</v>
          </cell>
          <cell r="F45">
            <v>3.9</v>
          </cell>
          <cell r="G45">
            <v>6.8</v>
          </cell>
          <cell r="H45">
            <v>2.5</v>
          </cell>
          <cell r="I45">
            <v>2.2000000000000002</v>
          </cell>
          <cell r="J45">
            <v>3.6</v>
          </cell>
          <cell r="K45">
            <v>4.4000000000000004</v>
          </cell>
        </row>
        <row r="46">
          <cell r="C46">
            <v>0.6</v>
          </cell>
          <cell r="D46">
            <v>2.9</v>
          </cell>
          <cell r="E46">
            <v>10.9</v>
          </cell>
          <cell r="F46">
            <v>1.2</v>
          </cell>
          <cell r="G46">
            <v>1</v>
          </cell>
          <cell r="H46">
            <v>1</v>
          </cell>
          <cell r="I46">
            <v>0.7</v>
          </cell>
          <cell r="J46">
            <v>1</v>
          </cell>
          <cell r="K46">
            <v>0.3</v>
          </cell>
        </row>
        <row r="47">
          <cell r="C47">
            <v>2.2000000000000002</v>
          </cell>
          <cell r="D47">
            <v>2.6</v>
          </cell>
          <cell r="E47">
            <v>3.7</v>
          </cell>
          <cell r="F47">
            <v>6.3</v>
          </cell>
          <cell r="G47">
            <v>5.7</v>
          </cell>
          <cell r="H47">
            <v>6.7</v>
          </cell>
          <cell r="I47">
            <v>9.1</v>
          </cell>
          <cell r="J47">
            <v>6.2</v>
          </cell>
          <cell r="K47">
            <v>0</v>
          </cell>
        </row>
        <row r="48">
          <cell r="C48">
            <v>13.2</v>
          </cell>
          <cell r="D48">
            <v>14.6</v>
          </cell>
          <cell r="E48">
            <v>18.600000000000001</v>
          </cell>
          <cell r="F48">
            <v>27.9</v>
          </cell>
          <cell r="G48">
            <v>20.9</v>
          </cell>
          <cell r="H48">
            <v>15.1</v>
          </cell>
          <cell r="I48">
            <v>21.3</v>
          </cell>
          <cell r="J48">
            <v>22.6</v>
          </cell>
          <cell r="K48">
            <v>0</v>
          </cell>
        </row>
        <row r="49">
          <cell r="C49">
            <v>18.3</v>
          </cell>
          <cell r="D49">
            <v>0.3</v>
          </cell>
          <cell r="E49">
            <v>1.3</v>
          </cell>
          <cell r="F49">
            <v>1</v>
          </cell>
          <cell r="G49">
            <v>2.2999999999999998</v>
          </cell>
          <cell r="H49">
            <v>2</v>
          </cell>
          <cell r="I49">
            <v>17.100000000000001</v>
          </cell>
          <cell r="J49">
            <v>3.6</v>
          </cell>
          <cell r="K49">
            <v>0</v>
          </cell>
        </row>
        <row r="50">
          <cell r="C50">
            <v>3.1</v>
          </cell>
          <cell r="D50">
            <v>2.9</v>
          </cell>
          <cell r="E50">
            <v>18.399999999999999</v>
          </cell>
          <cell r="F50">
            <v>7.3</v>
          </cell>
          <cell r="G50">
            <v>9.1999999999999993</v>
          </cell>
          <cell r="H50">
            <v>24.2</v>
          </cell>
          <cell r="I50">
            <v>12.5</v>
          </cell>
          <cell r="J50">
            <v>5.7</v>
          </cell>
          <cell r="K50">
            <v>5.6</v>
          </cell>
        </row>
        <row r="51">
          <cell r="C51">
            <v>2.4</v>
          </cell>
          <cell r="D51">
            <v>3.6</v>
          </cell>
          <cell r="E51">
            <v>5</v>
          </cell>
          <cell r="F51">
            <v>12.3</v>
          </cell>
          <cell r="G51">
            <v>10.7</v>
          </cell>
          <cell r="H51">
            <v>2.8</v>
          </cell>
          <cell r="I51">
            <v>9.5</v>
          </cell>
          <cell r="J51">
            <v>4.7</v>
          </cell>
          <cell r="K51">
            <v>2.8</v>
          </cell>
        </row>
        <row r="52">
          <cell r="C52">
            <v>1.2</v>
          </cell>
          <cell r="D52">
            <v>0.8</v>
          </cell>
          <cell r="E52">
            <v>4.5999999999999996</v>
          </cell>
          <cell r="F52">
            <v>14.5</v>
          </cell>
          <cell r="G52">
            <v>9.9</v>
          </cell>
          <cell r="H52">
            <v>2.9</v>
          </cell>
          <cell r="I52">
            <v>15</v>
          </cell>
          <cell r="J52">
            <v>4.5</v>
          </cell>
          <cell r="K52">
            <v>3.7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C31E-1F5F-495B-8648-E82BD436A23B}">
  <dimension ref="A1:L13"/>
  <sheetViews>
    <sheetView tabSelected="1" workbookViewId="0">
      <selection activeCell="L2" sqref="L2:L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23</v>
      </c>
    </row>
    <row r="2" spans="1:12" x14ac:dyDescent="0.3">
      <c r="A2" t="s">
        <v>10</v>
      </c>
      <c r="B2" s="1">
        <f>[1]Shocks_tmf_f!C41</f>
        <v>1.1000000000000001</v>
      </c>
      <c r="C2" s="1">
        <f>[1]Shocks_tmf_f!D41</f>
        <v>1.1000000000000001</v>
      </c>
      <c r="D2" s="1">
        <f>[1]Shocks_tmf_f!E41</f>
        <v>3</v>
      </c>
      <c r="E2" s="1">
        <f>[1]Shocks_tmf_f!F41</f>
        <v>1.6</v>
      </c>
      <c r="F2" s="1">
        <f>[1]Shocks_tmf_f!G41</f>
        <v>3</v>
      </c>
      <c r="G2" s="1">
        <f>[1]Shocks_tmf_f!H41</f>
        <v>0.4</v>
      </c>
      <c r="H2" s="1">
        <f>[1]Shocks_tmf_f!I41</f>
        <v>2.6</v>
      </c>
      <c r="I2" s="1">
        <f>[1]Shocks_tmf_f!J41</f>
        <v>1.2</v>
      </c>
      <c r="J2" s="1">
        <f>[1]Shocks_tmf_f!K41</f>
        <v>1.4</v>
      </c>
      <c r="K2" s="1">
        <f>C2</f>
        <v>1.1000000000000001</v>
      </c>
      <c r="L2" s="1">
        <f>C2</f>
        <v>1.1000000000000001</v>
      </c>
    </row>
    <row r="3" spans="1:12" x14ac:dyDescent="0.3">
      <c r="A3" t="s">
        <v>11</v>
      </c>
      <c r="B3" s="1">
        <f>[1]Shocks_tmf_f!C42</f>
        <v>0.9</v>
      </c>
      <c r="C3" s="1">
        <f>[1]Shocks_tmf_f!D42</f>
        <v>0.7</v>
      </c>
      <c r="D3" s="1">
        <f>[1]Shocks_tmf_f!E42</f>
        <v>5.5</v>
      </c>
      <c r="E3" s="1">
        <f>[1]Shocks_tmf_f!F42</f>
        <v>1.3</v>
      </c>
      <c r="F3" s="1">
        <f>[1]Shocks_tmf_f!G42</f>
        <v>4.8</v>
      </c>
      <c r="G3" s="1">
        <f>[1]Shocks_tmf_f!H42</f>
        <v>0.4</v>
      </c>
      <c r="H3" s="1">
        <f>[1]Shocks_tmf_f!I42</f>
        <v>12.9</v>
      </c>
      <c r="I3" s="1">
        <f>[1]Shocks_tmf_f!J42</f>
        <v>0.7</v>
      </c>
      <c r="J3" s="1">
        <f>[1]Shocks_tmf_f!K42</f>
        <v>0</v>
      </c>
      <c r="K3" s="1">
        <f t="shared" ref="K3:K13" si="0">C3</f>
        <v>0.7</v>
      </c>
      <c r="L3" s="1">
        <f t="shared" ref="L3:L13" si="1">C3</f>
        <v>0.7</v>
      </c>
    </row>
    <row r="4" spans="1:12" x14ac:dyDescent="0.3">
      <c r="A4" t="s">
        <v>12</v>
      </c>
      <c r="B4" s="1">
        <f>[1]Shocks_tmf_f!C43</f>
        <v>0.5</v>
      </c>
      <c r="C4" s="1">
        <f>[1]Shocks_tmf_f!D43</f>
        <v>4.3</v>
      </c>
      <c r="D4" s="1">
        <f>[1]Shocks_tmf_f!E43</f>
        <v>2.5</v>
      </c>
      <c r="E4" s="1">
        <f>[1]Shocks_tmf_f!F43</f>
        <v>1</v>
      </c>
      <c r="F4" s="1">
        <f>[1]Shocks_tmf_f!G43</f>
        <v>1.3</v>
      </c>
      <c r="G4" s="1">
        <f>[1]Shocks_tmf_f!H43</f>
        <v>1.8</v>
      </c>
      <c r="H4" s="1">
        <f>[1]Shocks_tmf_f!I43</f>
        <v>1.6</v>
      </c>
      <c r="I4" s="1">
        <f>[1]Shocks_tmf_f!J43</f>
        <v>0.8</v>
      </c>
      <c r="J4" s="1">
        <f>[1]Shocks_tmf_f!K43</f>
        <v>0.8</v>
      </c>
      <c r="K4" s="1">
        <f t="shared" si="0"/>
        <v>4.3</v>
      </c>
      <c r="L4" s="1">
        <f t="shared" si="1"/>
        <v>4.3</v>
      </c>
    </row>
    <row r="5" spans="1:12" x14ac:dyDescent="0.3">
      <c r="A5" t="s">
        <v>13</v>
      </c>
      <c r="B5" s="1">
        <f>[1]Shocks_tmf_f!C44</f>
        <v>3.3</v>
      </c>
      <c r="C5" s="1">
        <f>[1]Shocks_tmf_f!D44</f>
        <v>1.4</v>
      </c>
      <c r="D5" s="1">
        <f>[1]Shocks_tmf_f!E44</f>
        <v>15.7</v>
      </c>
      <c r="E5" s="1">
        <f>[1]Shocks_tmf_f!F44</f>
        <v>3.7</v>
      </c>
      <c r="F5" s="1">
        <f>[1]Shocks_tmf_f!G44</f>
        <v>4.2</v>
      </c>
      <c r="G5" s="1">
        <f>[1]Shocks_tmf_f!H44</f>
        <v>3.9</v>
      </c>
      <c r="H5" s="1">
        <f>[1]Shocks_tmf_f!I44</f>
        <v>10.199999999999999</v>
      </c>
      <c r="I5" s="1">
        <f>[1]Shocks_tmf_f!J44</f>
        <v>2.7</v>
      </c>
      <c r="J5" s="1">
        <f>[1]Shocks_tmf_f!K44</f>
        <v>4.9000000000000004</v>
      </c>
      <c r="K5" s="1">
        <f t="shared" si="0"/>
        <v>1.4</v>
      </c>
      <c r="L5" s="1">
        <f t="shared" si="1"/>
        <v>1.4</v>
      </c>
    </row>
    <row r="6" spans="1:12" x14ac:dyDescent="0.3">
      <c r="A6" t="s">
        <v>14</v>
      </c>
      <c r="B6" s="1">
        <f>[1]Shocks_tmf_f!C45</f>
        <v>1.9</v>
      </c>
      <c r="C6" s="1">
        <f>[1]Shocks_tmf_f!D45</f>
        <v>1.5</v>
      </c>
      <c r="D6" s="1">
        <f>[1]Shocks_tmf_f!E45</f>
        <v>4.0999999999999996</v>
      </c>
      <c r="E6" s="1">
        <f>[1]Shocks_tmf_f!F45</f>
        <v>3.9</v>
      </c>
      <c r="F6" s="1">
        <f>[1]Shocks_tmf_f!G45</f>
        <v>6.8</v>
      </c>
      <c r="G6" s="1">
        <f>[1]Shocks_tmf_f!H45</f>
        <v>2.5</v>
      </c>
      <c r="H6" s="1">
        <f>[1]Shocks_tmf_f!I45</f>
        <v>2.2000000000000002</v>
      </c>
      <c r="I6" s="1">
        <f>[1]Shocks_tmf_f!J45</f>
        <v>3.6</v>
      </c>
      <c r="J6" s="1">
        <f>[1]Shocks_tmf_f!K45</f>
        <v>4.4000000000000004</v>
      </c>
      <c r="K6" s="1">
        <f t="shared" si="0"/>
        <v>1.5</v>
      </c>
      <c r="L6" s="1">
        <f t="shared" si="1"/>
        <v>1.5</v>
      </c>
    </row>
    <row r="7" spans="1:12" x14ac:dyDescent="0.3">
      <c r="A7" t="s">
        <v>21</v>
      </c>
      <c r="B7" s="1">
        <f>[1]Shocks_tmf_f!C46</f>
        <v>0.6</v>
      </c>
      <c r="C7" s="1">
        <f>[1]Shocks_tmf_f!D46</f>
        <v>2.9</v>
      </c>
      <c r="D7" s="1">
        <f>[1]Shocks_tmf_f!E46</f>
        <v>10.9</v>
      </c>
      <c r="E7" s="1">
        <f>[1]Shocks_tmf_f!F46</f>
        <v>1.2</v>
      </c>
      <c r="F7" s="1">
        <f>[1]Shocks_tmf_f!G46</f>
        <v>1</v>
      </c>
      <c r="G7" s="1">
        <f>[1]Shocks_tmf_f!H46</f>
        <v>1</v>
      </c>
      <c r="H7" s="1">
        <f>[1]Shocks_tmf_f!I46</f>
        <v>0.7</v>
      </c>
      <c r="I7" s="1">
        <f>[1]Shocks_tmf_f!J46</f>
        <v>1</v>
      </c>
      <c r="J7" s="1">
        <f>[1]Shocks_tmf_f!K46</f>
        <v>0.3</v>
      </c>
      <c r="K7" s="1">
        <f t="shared" si="0"/>
        <v>2.9</v>
      </c>
      <c r="L7" s="1">
        <f t="shared" si="1"/>
        <v>2.9</v>
      </c>
    </row>
    <row r="8" spans="1:12" x14ac:dyDescent="0.3">
      <c r="A8" t="s">
        <v>15</v>
      </c>
      <c r="B8" s="1">
        <f>[1]Shocks_tmf_f!C47</f>
        <v>2.2000000000000002</v>
      </c>
      <c r="C8" s="1">
        <f>[1]Shocks_tmf_f!D47</f>
        <v>2.6</v>
      </c>
      <c r="D8" s="1">
        <f>[1]Shocks_tmf_f!E47</f>
        <v>3.7</v>
      </c>
      <c r="E8" s="1">
        <f>[1]Shocks_tmf_f!F47</f>
        <v>6.3</v>
      </c>
      <c r="F8" s="1">
        <f>[1]Shocks_tmf_f!G47</f>
        <v>5.7</v>
      </c>
      <c r="G8" s="1">
        <f>[1]Shocks_tmf_f!H47</f>
        <v>6.7</v>
      </c>
      <c r="H8" s="1">
        <f>[1]Shocks_tmf_f!I47</f>
        <v>9.1</v>
      </c>
      <c r="I8" s="1">
        <f>[1]Shocks_tmf_f!J47</f>
        <v>6.2</v>
      </c>
      <c r="J8" s="1">
        <f>[1]Shocks_tmf_f!K47</f>
        <v>0</v>
      </c>
      <c r="K8" s="1">
        <f t="shared" si="0"/>
        <v>2.6</v>
      </c>
      <c r="L8" s="1">
        <f t="shared" si="1"/>
        <v>2.6</v>
      </c>
    </row>
    <row r="9" spans="1:12" x14ac:dyDescent="0.3">
      <c r="A9" t="s">
        <v>16</v>
      </c>
      <c r="B9" s="1">
        <f>[1]Shocks_tmf_f!C48</f>
        <v>13.2</v>
      </c>
      <c r="C9" s="1">
        <f>[1]Shocks_tmf_f!D48</f>
        <v>14.6</v>
      </c>
      <c r="D9" s="1">
        <f>[1]Shocks_tmf_f!E48</f>
        <v>18.600000000000001</v>
      </c>
      <c r="E9" s="1">
        <f>[1]Shocks_tmf_f!F48</f>
        <v>27.9</v>
      </c>
      <c r="F9" s="1">
        <f>[1]Shocks_tmf_f!G48</f>
        <v>20.9</v>
      </c>
      <c r="G9" s="1">
        <f>[1]Shocks_tmf_f!H48</f>
        <v>15.1</v>
      </c>
      <c r="H9" s="1">
        <f>[1]Shocks_tmf_f!I48</f>
        <v>21.3</v>
      </c>
      <c r="I9" s="1">
        <f>[1]Shocks_tmf_f!J48</f>
        <v>22.6</v>
      </c>
      <c r="J9" s="1">
        <f>[1]Shocks_tmf_f!K48</f>
        <v>0</v>
      </c>
      <c r="K9" s="1">
        <f t="shared" si="0"/>
        <v>14.6</v>
      </c>
      <c r="L9" s="1">
        <f t="shared" si="1"/>
        <v>14.6</v>
      </c>
    </row>
    <row r="10" spans="1:12" x14ac:dyDescent="0.3">
      <c r="A10" t="s">
        <v>17</v>
      </c>
      <c r="B10" s="1">
        <f>[1]Shocks_tmf_f!C49</f>
        <v>18.3</v>
      </c>
      <c r="C10" s="1">
        <f>[1]Shocks_tmf_f!D49</f>
        <v>0.3</v>
      </c>
      <c r="D10" s="1">
        <f>[1]Shocks_tmf_f!E49</f>
        <v>1.3</v>
      </c>
      <c r="E10" s="1">
        <f>[1]Shocks_tmf_f!F49</f>
        <v>1</v>
      </c>
      <c r="F10" s="1">
        <f>[1]Shocks_tmf_f!G49</f>
        <v>2.2999999999999998</v>
      </c>
      <c r="G10" s="1">
        <f>[1]Shocks_tmf_f!H49</f>
        <v>2</v>
      </c>
      <c r="H10" s="1">
        <f>[1]Shocks_tmf_f!I49</f>
        <v>17.100000000000001</v>
      </c>
      <c r="I10" s="1">
        <f>[1]Shocks_tmf_f!J49</f>
        <v>3.6</v>
      </c>
      <c r="J10" s="1">
        <f>[1]Shocks_tmf_f!K49</f>
        <v>0</v>
      </c>
      <c r="K10" s="1">
        <f t="shared" si="0"/>
        <v>0.3</v>
      </c>
      <c r="L10" s="1">
        <f t="shared" si="1"/>
        <v>0.3</v>
      </c>
    </row>
    <row r="11" spans="1:12" x14ac:dyDescent="0.3">
      <c r="A11" t="s">
        <v>18</v>
      </c>
      <c r="B11" s="1">
        <f>[1]Shocks_tmf_f!C50</f>
        <v>3.1</v>
      </c>
      <c r="C11" s="1">
        <f>[1]Shocks_tmf_f!D50</f>
        <v>2.9</v>
      </c>
      <c r="D11" s="1">
        <f>[1]Shocks_tmf_f!E50</f>
        <v>18.399999999999999</v>
      </c>
      <c r="E11" s="1">
        <f>[1]Shocks_tmf_f!F50</f>
        <v>7.3</v>
      </c>
      <c r="F11" s="1">
        <f>[1]Shocks_tmf_f!G50</f>
        <v>9.1999999999999993</v>
      </c>
      <c r="G11" s="1">
        <f>[1]Shocks_tmf_f!H50</f>
        <v>24.2</v>
      </c>
      <c r="H11" s="1">
        <f>[1]Shocks_tmf_f!I50</f>
        <v>12.5</v>
      </c>
      <c r="I11" s="1">
        <f>[1]Shocks_tmf_f!J50</f>
        <v>5.7</v>
      </c>
      <c r="J11" s="1">
        <f>[1]Shocks_tmf_f!K50</f>
        <v>5.6</v>
      </c>
      <c r="K11" s="1">
        <f t="shared" si="0"/>
        <v>2.9</v>
      </c>
      <c r="L11" s="1">
        <f t="shared" si="1"/>
        <v>2.9</v>
      </c>
    </row>
    <row r="12" spans="1:12" x14ac:dyDescent="0.3">
      <c r="A12" t="s">
        <v>19</v>
      </c>
      <c r="B12" s="1">
        <f>[1]Shocks_tmf_f!C51</f>
        <v>2.4</v>
      </c>
      <c r="C12" s="1">
        <f>[1]Shocks_tmf_f!D51</f>
        <v>3.6</v>
      </c>
      <c r="D12" s="1">
        <f>[1]Shocks_tmf_f!E51</f>
        <v>5</v>
      </c>
      <c r="E12" s="1">
        <f>[1]Shocks_tmf_f!F51</f>
        <v>12.3</v>
      </c>
      <c r="F12" s="1">
        <f>[1]Shocks_tmf_f!G51</f>
        <v>10.7</v>
      </c>
      <c r="G12" s="1">
        <f>[1]Shocks_tmf_f!H51</f>
        <v>2.8</v>
      </c>
      <c r="H12" s="1">
        <f>[1]Shocks_tmf_f!I51</f>
        <v>9.5</v>
      </c>
      <c r="I12" s="1">
        <f>[1]Shocks_tmf_f!J51</f>
        <v>4.7</v>
      </c>
      <c r="J12" s="1">
        <f>[1]Shocks_tmf_f!K51</f>
        <v>2.8</v>
      </c>
      <c r="K12" s="1">
        <f t="shared" si="0"/>
        <v>3.6</v>
      </c>
      <c r="L12" s="1">
        <f t="shared" si="1"/>
        <v>3.6</v>
      </c>
    </row>
    <row r="13" spans="1:12" x14ac:dyDescent="0.3">
      <c r="A13" t="s">
        <v>20</v>
      </c>
      <c r="B13" s="1">
        <f>[1]Shocks_tmf_f!C52</f>
        <v>1.2</v>
      </c>
      <c r="C13" s="1">
        <f>[1]Shocks_tmf_f!D52</f>
        <v>0.8</v>
      </c>
      <c r="D13" s="1">
        <f>[1]Shocks_tmf_f!E52</f>
        <v>4.5999999999999996</v>
      </c>
      <c r="E13" s="1">
        <f>[1]Shocks_tmf_f!F52</f>
        <v>14.5</v>
      </c>
      <c r="F13" s="1">
        <f>[1]Shocks_tmf_f!G52</f>
        <v>9.9</v>
      </c>
      <c r="G13" s="1">
        <f>[1]Shocks_tmf_f!H52</f>
        <v>2.9</v>
      </c>
      <c r="H13" s="1">
        <f>[1]Shocks_tmf_f!I52</f>
        <v>15</v>
      </c>
      <c r="I13" s="1">
        <f>[1]Shocks_tmf_f!J52</f>
        <v>4.5</v>
      </c>
      <c r="J13" s="1">
        <f>[1]Shocks_tmf_f!K52</f>
        <v>3.7</v>
      </c>
      <c r="K13" s="1">
        <f t="shared" si="0"/>
        <v>0.8</v>
      </c>
      <c r="L13" s="1">
        <f t="shared" si="1"/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2023-12-07T21:06:24Z</dcterms:created>
  <dcterms:modified xsi:type="dcterms:W3CDTF">2025-10-08T23:45:23Z</dcterms:modified>
</cp:coreProperties>
</file>