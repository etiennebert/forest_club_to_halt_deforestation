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unGTAP375\Game_theory_2024\0_External_data\"/>
    </mc:Choice>
  </mc:AlternateContent>
  <xr:revisionPtr revIDLastSave="0" documentId="13_ncr:1_{4DF9EA09-B3E2-49C9-BEAA-FAB0E4F31285}" xr6:coauthVersionLast="47" xr6:coauthVersionMax="47" xr10:uidLastSave="{00000000-0000-0000-0000-000000000000}"/>
  <bookViews>
    <workbookView xWindow="16690" yWindow="-21710" windowWidth="38620" windowHeight="21100" xr2:uid="{43EE81B5-F536-4A52-A633-6CC0AA8FC54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I4" i="1"/>
  <c r="J4" i="1"/>
  <c r="B4" i="1"/>
  <c r="C13" i="1"/>
  <c r="D13" i="1"/>
  <c r="E13" i="1"/>
  <c r="F13" i="1"/>
  <c r="G13" i="1"/>
  <c r="H13" i="1"/>
  <c r="I13" i="1"/>
  <c r="J13" i="1"/>
  <c r="B13" i="1"/>
  <c r="C12" i="1"/>
  <c r="D12" i="1"/>
  <c r="E12" i="1"/>
  <c r="F12" i="1"/>
  <c r="G12" i="1"/>
  <c r="H12" i="1"/>
  <c r="I12" i="1"/>
  <c r="J12" i="1"/>
  <c r="B12" i="1"/>
  <c r="C11" i="1"/>
  <c r="D11" i="1"/>
  <c r="E11" i="1"/>
  <c r="F11" i="1"/>
  <c r="G11" i="1"/>
  <c r="H11" i="1"/>
  <c r="I11" i="1"/>
  <c r="J11" i="1"/>
  <c r="B11" i="1"/>
  <c r="C10" i="1"/>
  <c r="D10" i="1"/>
  <c r="E10" i="1"/>
  <c r="F10" i="1"/>
  <c r="G10" i="1"/>
  <c r="H10" i="1"/>
  <c r="I10" i="1"/>
  <c r="J10" i="1"/>
  <c r="B10" i="1"/>
  <c r="C9" i="1"/>
  <c r="D9" i="1"/>
  <c r="E9" i="1"/>
  <c r="F9" i="1"/>
  <c r="G9" i="1"/>
  <c r="H9" i="1"/>
  <c r="I9" i="1"/>
  <c r="J9" i="1"/>
  <c r="B9" i="1"/>
  <c r="C8" i="1"/>
  <c r="D8" i="1"/>
  <c r="E8" i="1"/>
  <c r="F8" i="1"/>
  <c r="G8" i="1"/>
  <c r="H8" i="1"/>
  <c r="I8" i="1"/>
  <c r="J8" i="1"/>
  <c r="B8" i="1"/>
  <c r="C7" i="1"/>
  <c r="D7" i="1"/>
  <c r="E7" i="1"/>
  <c r="F7" i="1"/>
  <c r="G7" i="1"/>
  <c r="H7" i="1"/>
  <c r="I7" i="1"/>
  <c r="J7" i="1"/>
  <c r="B7" i="1"/>
  <c r="C6" i="1"/>
  <c r="D6" i="1"/>
  <c r="E6" i="1"/>
  <c r="F6" i="1"/>
  <c r="G6" i="1"/>
  <c r="H6" i="1"/>
  <c r="I6" i="1"/>
  <c r="J6" i="1"/>
  <c r="B6" i="1"/>
  <c r="C5" i="1"/>
  <c r="D5" i="1"/>
  <c r="E5" i="1"/>
  <c r="F5" i="1"/>
  <c r="G5" i="1"/>
  <c r="H5" i="1"/>
  <c r="I5" i="1"/>
  <c r="J5" i="1"/>
  <c r="B5" i="1"/>
  <c r="C3" i="1"/>
  <c r="D3" i="1"/>
  <c r="E3" i="1"/>
  <c r="F3" i="1"/>
  <c r="G3" i="1"/>
  <c r="H3" i="1"/>
  <c r="I3" i="1"/>
  <c r="J3" i="1"/>
  <c r="B3" i="1"/>
  <c r="C2" i="1"/>
  <c r="D2" i="1"/>
  <c r="E2" i="1"/>
  <c r="F2" i="1"/>
  <c r="G2" i="1"/>
  <c r="H2" i="1"/>
  <c r="I2" i="1"/>
  <c r="J2" i="1"/>
  <c r="B2" i="1"/>
</calcChain>
</file>

<file path=xl/sharedStrings.xml><?xml version="1.0" encoding="utf-8"?>
<sst xmlns="http://schemas.openxmlformats.org/spreadsheetml/2006/main" count="22" uniqueCount="22">
  <si>
    <t>Country</t>
  </si>
  <si>
    <t xml:space="preserve">brasil     </t>
  </si>
  <si>
    <t xml:space="preserve">indonesia  </t>
  </si>
  <si>
    <t xml:space="preserve">argentina  </t>
  </si>
  <si>
    <t xml:space="preserve">bolivia    </t>
  </si>
  <si>
    <t xml:space="preserve">colombia   </t>
  </si>
  <si>
    <t xml:space="preserve">ghana      </t>
  </si>
  <si>
    <t xml:space="preserve">ivorycoast </t>
  </si>
  <si>
    <t xml:space="preserve">malasya    </t>
  </si>
  <si>
    <t xml:space="preserve">paraguay   </t>
  </si>
  <si>
    <t xml:space="preserve">peru       </t>
  </si>
  <si>
    <t>sgr</t>
  </si>
  <si>
    <t>ruminant</t>
  </si>
  <si>
    <t>gro</t>
  </si>
  <si>
    <t>ocr</t>
  </si>
  <si>
    <t>osd</t>
  </si>
  <si>
    <t>pcr</t>
  </si>
  <si>
    <t>pfb</t>
  </si>
  <si>
    <t>v_f</t>
  </si>
  <si>
    <t>wht</t>
  </si>
  <si>
    <t>angola</t>
  </si>
  <si>
    <t>drc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</si>
</sst>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tprod-my.sharepoint.com/personal/etber_mit_edu/Documents/Documents/Deforestation_Nature/Forest_Club_SI/1.%20Data/3.%20GTAPAEZ_Deforestation_coefficient/Database_Forest_Intensity_GTAPAEZ_shocks_final.xlsx" TargetMode="External"/><Relationship Id="rId1" Type="http://schemas.openxmlformats.org/officeDocument/2006/relationships/externalLinkPath" Target="https://mitprod-my.sharepoint.com/personal/etber_mit_edu/Documents/Documents/Deforestation_Nature/Forest_Club_SI/1.%20Data/3.%20GTAPAEZ_Deforestation_coefficient/Database_Forest_Intensity_GTAPAEZ_shocks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ditional_LU_and_deforestation"/>
      <sheetName val="Land_Cover"/>
      <sheetName val="Land_Cover_MIN_MAX"/>
      <sheetName val="GTAP_area"/>
      <sheetName val="Sheet3"/>
      <sheetName val="Sheet4"/>
      <sheetName val="Shocks_GlobalTarf_qxw"/>
      <sheetName val="Shocks_tmf_f"/>
      <sheetName val="Sheet1"/>
      <sheetName val="Shocks_tmf_f2"/>
    </sheetNames>
    <sheetDataSet>
      <sheetData sheetId="0"/>
      <sheetData sheetId="1"/>
      <sheetData sheetId="2"/>
      <sheetData sheetId="3"/>
      <sheetData sheetId="4"/>
      <sheetData sheetId="5">
        <row r="21">
          <cell r="BM21">
            <v>3.2592816165294627</v>
          </cell>
          <cell r="BN21">
            <v>10.33368572011617</v>
          </cell>
          <cell r="BO21">
            <v>22.394819271147433</v>
          </cell>
          <cell r="BP21">
            <v>3.5330811594172671</v>
          </cell>
          <cell r="BQ21">
            <v>2.0125972621416643</v>
          </cell>
          <cell r="BR21">
            <v>4.4628622369061421</v>
          </cell>
          <cell r="BS21">
            <v>1.6687258339981561</v>
          </cell>
          <cell r="BT21">
            <v>2.7598774804851423</v>
          </cell>
          <cell r="BU21">
            <v>1.0050811425673827</v>
          </cell>
        </row>
        <row r="59">
          <cell r="BM59">
            <v>12.649951689465617</v>
          </cell>
          <cell r="BN59">
            <v>2.576452136380186</v>
          </cell>
          <cell r="BO59">
            <v>28.273817766748337</v>
          </cell>
          <cell r="BP59">
            <v>11.385096173096438</v>
          </cell>
          <cell r="BQ59">
            <v>13.405632030785759</v>
          </cell>
          <cell r="BR59">
            <v>8.534651666069939</v>
          </cell>
          <cell r="BS59">
            <v>36.361072353619136</v>
          </cell>
          <cell r="BT59">
            <v>5.1946086854736313</v>
          </cell>
          <cell r="BU59">
            <v>30.704496097842831</v>
          </cell>
        </row>
        <row r="78">
          <cell r="BM78">
            <v>1.6723376794962399</v>
          </cell>
          <cell r="BN78">
            <v>1.9196079004924875</v>
          </cell>
          <cell r="BO78">
            <v>2.7558985848572726</v>
          </cell>
          <cell r="BP78">
            <v>0.1604641310330728</v>
          </cell>
          <cell r="BQ78">
            <v>4.1152896617819481</v>
          </cell>
          <cell r="BR78">
            <v>0.32415605702635442</v>
          </cell>
          <cell r="BS78">
            <v>5.2871023596143258</v>
          </cell>
          <cell r="BT78">
            <v>0.4551162969937726</v>
          </cell>
          <cell r="BU78">
            <v>4.3082198150677886</v>
          </cell>
        </row>
        <row r="97">
          <cell r="BM97">
            <v>5.8083733799160093</v>
          </cell>
          <cell r="BN97">
            <v>1.8673556284186359</v>
          </cell>
          <cell r="BO97">
            <v>6.5249602147018653</v>
          </cell>
          <cell r="BP97">
            <v>4.8699812692597009</v>
          </cell>
          <cell r="BQ97">
            <v>20.859493256001233</v>
          </cell>
          <cell r="BR97">
            <v>8.0426911288215255</v>
          </cell>
          <cell r="BS97">
            <v>4.1822389372623281</v>
          </cell>
          <cell r="BT97">
            <v>6.7710432008686903</v>
          </cell>
          <cell r="BU97">
            <v>26.209024554975635</v>
          </cell>
        </row>
        <row r="116">
          <cell r="BM116">
            <v>8.2228986546205558</v>
          </cell>
          <cell r="BN116">
            <v>1.0104755651357047</v>
          </cell>
          <cell r="BO116">
            <v>1.0635868807786328</v>
          </cell>
          <cell r="BP116">
            <v>8.9609572144490883</v>
          </cell>
          <cell r="BQ116">
            <v>12.100729048226007</v>
          </cell>
          <cell r="BR116">
            <v>26.451775486787799</v>
          </cell>
          <cell r="BS116">
            <v>26.425974432654776</v>
          </cell>
          <cell r="BT116">
            <v>10.761599243689275</v>
          </cell>
          <cell r="BU116">
            <v>0</v>
          </cell>
        </row>
        <row r="135">
          <cell r="BM135">
            <v>4.0246364451652639</v>
          </cell>
          <cell r="BN135">
            <v>2.2178035992971914</v>
          </cell>
          <cell r="BO135">
            <v>10.442780191250822</v>
          </cell>
          <cell r="BP135">
            <v>3.0168753156801063</v>
          </cell>
          <cell r="BQ135">
            <v>18.740877943436466</v>
          </cell>
          <cell r="BR135">
            <v>1.0677211323407854</v>
          </cell>
          <cell r="BS135">
            <v>41.491048826065843</v>
          </cell>
          <cell r="BT135">
            <v>1.5206394431597063</v>
          </cell>
          <cell r="BU135">
            <v>0</v>
          </cell>
        </row>
        <row r="154">
          <cell r="BM154">
            <v>7.5118698993463502</v>
          </cell>
          <cell r="BN154">
            <v>0.47971667978146237</v>
          </cell>
          <cell r="BO154">
            <v>2.577938250719841</v>
          </cell>
          <cell r="BP154">
            <v>25.059588584565812</v>
          </cell>
          <cell r="BQ154">
            <v>7.283225884355188</v>
          </cell>
          <cell r="BR154">
            <v>11.480273866940198</v>
          </cell>
          <cell r="BS154">
            <v>15.610706231166374</v>
          </cell>
          <cell r="BT154">
            <v>11.508253303697305</v>
          </cell>
          <cell r="BU154">
            <v>0</v>
          </cell>
        </row>
        <row r="173">
          <cell r="BM173">
            <v>59.103001414794655</v>
          </cell>
          <cell r="BN173">
            <v>0.50691244239631339</v>
          </cell>
          <cell r="BO173">
            <v>0</v>
          </cell>
          <cell r="BP173">
            <v>3.1762656932205888</v>
          </cell>
          <cell r="BQ173">
            <v>8.5689544262329456</v>
          </cell>
          <cell r="BR173">
            <v>8.7256866096993964</v>
          </cell>
          <cell r="BS173">
            <v>31.434657036442747</v>
          </cell>
          <cell r="BT173">
            <v>9.81412982052702</v>
          </cell>
          <cell r="BU173">
            <v>0</v>
          </cell>
        </row>
        <row r="192">
          <cell r="BM192">
            <v>6.640568143636469</v>
          </cell>
          <cell r="BN192">
            <v>0.40723966233655384</v>
          </cell>
          <cell r="BO192">
            <v>18.647303978264375</v>
          </cell>
          <cell r="BP192">
            <v>8.4442076582985504</v>
          </cell>
          <cell r="BQ192">
            <v>9.9362432150602853</v>
          </cell>
          <cell r="BR192">
            <v>47.701335003384315</v>
          </cell>
          <cell r="BS192">
            <v>26.076203140711002</v>
          </cell>
          <cell r="BT192">
            <v>3.7383898616248699</v>
          </cell>
          <cell r="BU192">
            <v>8.309618550856527</v>
          </cell>
        </row>
        <row r="211">
          <cell r="BM211">
            <v>6.4571840254064758</v>
          </cell>
          <cell r="BN211">
            <v>4.6869779511358942</v>
          </cell>
          <cell r="BO211">
            <v>2.4952562952907202</v>
          </cell>
          <cell r="BP211">
            <v>15.373617727978653</v>
          </cell>
          <cell r="BQ211">
            <v>21.677612600318135</v>
          </cell>
          <cell r="BR211">
            <v>5.3175607443009794</v>
          </cell>
          <cell r="BS211">
            <v>24.729064412469807</v>
          </cell>
          <cell r="BT211">
            <v>2.4873161832720427</v>
          </cell>
          <cell r="BU211">
            <v>2.979629864170882</v>
          </cell>
        </row>
        <row r="230">
          <cell r="BM230">
            <v>4.5842156854696148</v>
          </cell>
          <cell r="BN230">
            <v>0.95145621289964843</v>
          </cell>
          <cell r="BO230">
            <v>8.2336566557987538</v>
          </cell>
          <cell r="BP230">
            <v>38.814775182315877</v>
          </cell>
          <cell r="BQ230">
            <v>33.417434428107569</v>
          </cell>
          <cell r="BR230">
            <v>12.381410690553825</v>
          </cell>
          <cell r="BS230">
            <v>48.24458570746237</v>
          </cell>
          <cell r="BT230">
            <v>11.984357710892249</v>
          </cell>
          <cell r="BU230">
            <v>23.353207910254277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5CF7-10EB-4BDC-9A06-7D1F7405D9FF}">
  <dimension ref="A1:J13"/>
  <sheetViews>
    <sheetView tabSelected="1" zoomScaleNormal="100" workbookViewId="0">
      <selection activeCell="C13" sqref="C13"/>
    </sheetView>
  </sheetViews>
  <sheetFormatPr defaultRowHeight="14.4" x14ac:dyDescent="0.3"/>
  <cols>
    <col min="2" max="2" width="12.77734375" bestFit="1" customWidth="1"/>
    <col min="3" max="10" width="12.21875" bestFit="1" customWidth="1"/>
  </cols>
  <sheetData>
    <row r="1" spans="1:10" s="2" customFormat="1" x14ac:dyDescent="0.3">
      <c r="A1" s="1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</row>
    <row r="2" spans="1:10" x14ac:dyDescent="0.3">
      <c r="A2" t="s">
        <v>1</v>
      </c>
      <c r="B2" s="3">
        <f>-[1]Sheet4!BM$78</f>
        <v>-1.6723376794962399</v>
      </c>
      <c r="C2" s="3">
        <f>-[1]Sheet4!BN$78</f>
        <v>-1.9196079004924875</v>
      </c>
      <c r="D2" s="3">
        <f>-[1]Sheet4!BO$78</f>
        <v>-2.7558985848572726</v>
      </c>
      <c r="E2" s="3">
        <f>-[1]Sheet4!BP$78</f>
        <v>-0.1604641310330728</v>
      </c>
      <c r="F2" s="3">
        <f>-[1]Sheet4!BQ$78</f>
        <v>-4.1152896617819481</v>
      </c>
      <c r="G2" s="3">
        <f>-[1]Sheet4!BR$78</f>
        <v>-0.32415605702635442</v>
      </c>
      <c r="H2" s="3">
        <f>-[1]Sheet4!BS$78</f>
        <v>-5.2871023596143258</v>
      </c>
      <c r="I2" s="3">
        <f>-[1]Sheet4!BT$78</f>
        <v>-0.4551162969937726</v>
      </c>
      <c r="J2" s="3">
        <f>-[1]Sheet4!BU$78</f>
        <v>-4.3082198150677886</v>
      </c>
    </row>
    <row r="3" spans="1:10" x14ac:dyDescent="0.3">
      <c r="A3" t="s">
        <v>2</v>
      </c>
      <c r="B3" s="3">
        <f>-[1]Sheet4!BM$135</f>
        <v>-4.0246364451652639</v>
      </c>
      <c r="C3" s="3">
        <f>-[1]Sheet4!BN$135</f>
        <v>-2.2178035992971914</v>
      </c>
      <c r="D3" s="3">
        <f>-[1]Sheet4!BO$135</f>
        <v>-10.442780191250822</v>
      </c>
      <c r="E3" s="3">
        <f>-[1]Sheet4!BP$135</f>
        <v>-3.0168753156801063</v>
      </c>
      <c r="F3" s="3">
        <f>-[1]Sheet4!BQ$135</f>
        <v>-18.740877943436466</v>
      </c>
      <c r="G3" s="3">
        <f>-[1]Sheet4!BR$135</f>
        <v>-1.0677211323407854</v>
      </c>
      <c r="H3" s="3">
        <f>-[1]Sheet4!BS$135</f>
        <v>-41.491048826065843</v>
      </c>
      <c r="I3" s="3">
        <f>-[1]Sheet4!BT$135</f>
        <v>-1.5206394431597063</v>
      </c>
      <c r="J3" s="3">
        <f>-[1]Sheet4!BU$135</f>
        <v>0</v>
      </c>
    </row>
    <row r="4" spans="1:10" x14ac:dyDescent="0.3">
      <c r="A4" t="s">
        <v>3</v>
      </c>
      <c r="B4" s="3">
        <f>-[1]Sheet4!BM$21</f>
        <v>-3.2592816165294627</v>
      </c>
      <c r="C4" s="3">
        <f>-[1]Sheet4!BN$21</f>
        <v>-10.33368572011617</v>
      </c>
      <c r="D4" s="3">
        <f>-[1]Sheet4!BO$21</f>
        <v>-22.394819271147433</v>
      </c>
      <c r="E4" s="3">
        <f>-[1]Sheet4!BP$21</f>
        <v>-3.5330811594172671</v>
      </c>
      <c r="F4" s="3">
        <f>-[1]Sheet4!BQ$21</f>
        <v>-2.0125972621416643</v>
      </c>
      <c r="G4" s="3">
        <f>-[1]Sheet4!BR$21</f>
        <v>-4.4628622369061421</v>
      </c>
      <c r="H4" s="3">
        <f>-[1]Sheet4!BS$21</f>
        <v>-1.6687258339981561</v>
      </c>
      <c r="I4" s="3">
        <f>-[1]Sheet4!BT$21</f>
        <v>-2.7598774804851423</v>
      </c>
      <c r="J4" s="3">
        <f>-[1]Sheet4!BU$21</f>
        <v>-1.0050811425673827</v>
      </c>
    </row>
    <row r="5" spans="1:10" x14ac:dyDescent="0.3">
      <c r="A5" t="s">
        <v>4</v>
      </c>
      <c r="B5" s="3">
        <f>-[1]Sheet4!BM$59</f>
        <v>-12.649951689465617</v>
      </c>
      <c r="C5" s="3">
        <f>-[1]Sheet4!BN$59</f>
        <v>-2.576452136380186</v>
      </c>
      <c r="D5" s="3">
        <f>-[1]Sheet4!BO$59</f>
        <v>-28.273817766748337</v>
      </c>
      <c r="E5" s="3">
        <f>-[1]Sheet4!BP$59</f>
        <v>-11.385096173096438</v>
      </c>
      <c r="F5" s="3">
        <f>-[1]Sheet4!BQ$59</f>
        <v>-13.405632030785759</v>
      </c>
      <c r="G5" s="3">
        <f>-[1]Sheet4!BR$59</f>
        <v>-8.534651666069939</v>
      </c>
      <c r="H5" s="3">
        <f>-[1]Sheet4!BS$59</f>
        <v>-36.361072353619136</v>
      </c>
      <c r="I5" s="3">
        <f>-[1]Sheet4!BT$59</f>
        <v>-5.1946086854736313</v>
      </c>
      <c r="J5" s="3">
        <f>-[1]Sheet4!BU$59</f>
        <v>-30.704496097842831</v>
      </c>
    </row>
    <row r="6" spans="1:10" x14ac:dyDescent="0.3">
      <c r="A6" t="s">
        <v>5</v>
      </c>
      <c r="B6" s="3">
        <f>-[1]Sheet4!BM$97</f>
        <v>-5.8083733799160093</v>
      </c>
      <c r="C6" s="3">
        <f>-[1]Sheet4!BN$97</f>
        <v>-1.8673556284186359</v>
      </c>
      <c r="D6" s="3">
        <f>-[1]Sheet4!BO$97</f>
        <v>-6.5249602147018653</v>
      </c>
      <c r="E6" s="3">
        <f>-[1]Sheet4!BP$97</f>
        <v>-4.8699812692597009</v>
      </c>
      <c r="F6" s="3">
        <f>-[1]Sheet4!BQ$97</f>
        <v>-20.859493256001233</v>
      </c>
      <c r="G6" s="3">
        <f>-[1]Sheet4!BR$97</f>
        <v>-8.0426911288215255</v>
      </c>
      <c r="H6" s="3">
        <f>-[1]Sheet4!BS$97</f>
        <v>-4.1822389372623281</v>
      </c>
      <c r="I6" s="3">
        <f>-[1]Sheet4!BT$97</f>
        <v>-6.7710432008686903</v>
      </c>
      <c r="J6" s="3">
        <f>-[1]Sheet4!BU$97</f>
        <v>-26.209024554975635</v>
      </c>
    </row>
    <row r="7" spans="1:10" x14ac:dyDescent="0.3">
      <c r="A7" t="s">
        <v>20</v>
      </c>
      <c r="B7" s="3">
        <f>-[1]Sheet4!BM$21</f>
        <v>-3.2592816165294627</v>
      </c>
      <c r="C7" s="3">
        <f>-[1]Sheet4!BN$21</f>
        <v>-10.33368572011617</v>
      </c>
      <c r="D7" s="3">
        <f>-[1]Sheet4!BO$21</f>
        <v>-22.394819271147433</v>
      </c>
      <c r="E7" s="3">
        <f>-[1]Sheet4!BP$21</f>
        <v>-3.5330811594172671</v>
      </c>
      <c r="F7" s="3">
        <f>-[1]Sheet4!BQ$21</f>
        <v>-2.0125972621416643</v>
      </c>
      <c r="G7" s="3">
        <f>-[1]Sheet4!BR$21</f>
        <v>-4.4628622369061421</v>
      </c>
      <c r="H7" s="3">
        <f>-[1]Sheet4!BS$21</f>
        <v>-1.6687258339981561</v>
      </c>
      <c r="I7" s="3">
        <f>-[1]Sheet4!BT$21</f>
        <v>-2.7598774804851423</v>
      </c>
      <c r="J7" s="3">
        <f>-[1]Sheet4!BU$21</f>
        <v>-1.0050811425673827</v>
      </c>
    </row>
    <row r="8" spans="1:10" x14ac:dyDescent="0.3">
      <c r="A8" t="s">
        <v>6</v>
      </c>
      <c r="B8" s="3">
        <f>-[1]Sheet4!BM$116</f>
        <v>-8.2228986546205558</v>
      </c>
      <c r="C8" s="3">
        <f>-[1]Sheet4!BN$116</f>
        <v>-1.0104755651357047</v>
      </c>
      <c r="D8" s="3">
        <f>-[1]Sheet4!BO$116</f>
        <v>-1.0635868807786328</v>
      </c>
      <c r="E8" s="3">
        <f>-[1]Sheet4!BP$116</f>
        <v>-8.9609572144490883</v>
      </c>
      <c r="F8" s="3">
        <f>-[1]Sheet4!BQ$116</f>
        <v>-12.100729048226007</v>
      </c>
      <c r="G8" s="3">
        <f>-[1]Sheet4!BR$116</f>
        <v>-26.451775486787799</v>
      </c>
      <c r="H8" s="3">
        <f>-[1]Sheet4!BS$116</f>
        <v>-26.425974432654776</v>
      </c>
      <c r="I8" s="3">
        <f>-[1]Sheet4!BT$116</f>
        <v>-10.761599243689275</v>
      </c>
      <c r="J8" s="3">
        <f>-[1]Sheet4!BU$116</f>
        <v>0</v>
      </c>
    </row>
    <row r="9" spans="1:10" x14ac:dyDescent="0.3">
      <c r="A9" t="s">
        <v>7</v>
      </c>
      <c r="B9" s="3">
        <f>-[1]Sheet4!BM$154</f>
        <v>-7.5118698993463502</v>
      </c>
      <c r="C9" s="3">
        <f>-[1]Sheet4!BN$154</f>
        <v>-0.47971667978146237</v>
      </c>
      <c r="D9" s="3">
        <f>-[1]Sheet4!BO$154</f>
        <v>-2.577938250719841</v>
      </c>
      <c r="E9" s="3">
        <f>-[1]Sheet4!BP$154</f>
        <v>-25.059588584565812</v>
      </c>
      <c r="F9" s="3">
        <f>-[1]Sheet4!BQ$154</f>
        <v>-7.283225884355188</v>
      </c>
      <c r="G9" s="3">
        <f>-[1]Sheet4!BR$154</f>
        <v>-11.480273866940198</v>
      </c>
      <c r="H9" s="3">
        <f>-[1]Sheet4!BS$154</f>
        <v>-15.610706231166374</v>
      </c>
      <c r="I9" s="3">
        <f>-[1]Sheet4!BT$154</f>
        <v>-11.508253303697305</v>
      </c>
      <c r="J9" s="3">
        <f>-[1]Sheet4!BU$154</f>
        <v>0</v>
      </c>
    </row>
    <row r="10" spans="1:10" x14ac:dyDescent="0.3">
      <c r="A10" t="s">
        <v>8</v>
      </c>
      <c r="B10" s="3">
        <f>-[1]Sheet4!BM$173</f>
        <v>-59.103001414794655</v>
      </c>
      <c r="C10" s="3">
        <f>-[1]Sheet4!BN$173</f>
        <v>-0.50691244239631339</v>
      </c>
      <c r="D10" s="3">
        <f>-[1]Sheet4!BO$173</f>
        <v>0</v>
      </c>
      <c r="E10" s="3">
        <f>-[1]Sheet4!BP$173</f>
        <v>-3.1762656932205888</v>
      </c>
      <c r="F10" s="3">
        <f>-[1]Sheet4!BQ$173</f>
        <v>-8.5689544262329456</v>
      </c>
      <c r="G10" s="3">
        <f>-[1]Sheet4!BR$173</f>
        <v>-8.7256866096993964</v>
      </c>
      <c r="H10" s="3">
        <f>-[1]Sheet4!BS$173</f>
        <v>-31.434657036442747</v>
      </c>
      <c r="I10" s="3">
        <f>-[1]Sheet4!BT$173</f>
        <v>-9.81412982052702</v>
      </c>
      <c r="J10" s="3">
        <f>-[1]Sheet4!BU$173</f>
        <v>0</v>
      </c>
    </row>
    <row r="11" spans="1:10" x14ac:dyDescent="0.3">
      <c r="A11" t="s">
        <v>9</v>
      </c>
      <c r="B11" s="3">
        <f>-[1]Sheet4!BM$192</f>
        <v>-6.640568143636469</v>
      </c>
      <c r="C11" s="3">
        <f>-[1]Sheet4!BN$192</f>
        <v>-0.40723966233655384</v>
      </c>
      <c r="D11" s="3">
        <f>-[1]Sheet4!BO$192</f>
        <v>-18.647303978264375</v>
      </c>
      <c r="E11" s="3">
        <f>-[1]Sheet4!BP$192</f>
        <v>-8.4442076582985504</v>
      </c>
      <c r="F11" s="3">
        <f>-[1]Sheet4!BQ$192</f>
        <v>-9.9362432150602853</v>
      </c>
      <c r="G11" s="3">
        <f>-[1]Sheet4!BR$192</f>
        <v>-47.701335003384315</v>
      </c>
      <c r="H11" s="3">
        <f>-[1]Sheet4!BS$192</f>
        <v>-26.076203140711002</v>
      </c>
      <c r="I11" s="3">
        <f>-[1]Sheet4!BT$192</f>
        <v>-3.7383898616248699</v>
      </c>
      <c r="J11" s="3">
        <f>-[1]Sheet4!BU$192</f>
        <v>-8.309618550856527</v>
      </c>
    </row>
    <row r="12" spans="1:10" x14ac:dyDescent="0.3">
      <c r="A12" t="s">
        <v>10</v>
      </c>
      <c r="B12" s="3">
        <f>-[1]Sheet4!BM$211</f>
        <v>-6.4571840254064758</v>
      </c>
      <c r="C12" s="3">
        <f>-[1]Sheet4!BN$211</f>
        <v>-4.6869779511358942</v>
      </c>
      <c r="D12" s="3">
        <f>-[1]Sheet4!BO$211</f>
        <v>-2.4952562952907202</v>
      </c>
      <c r="E12" s="3">
        <f>-[1]Sheet4!BP$211</f>
        <v>-15.373617727978653</v>
      </c>
      <c r="F12" s="3">
        <f>-[1]Sheet4!BQ$211</f>
        <v>-21.677612600318135</v>
      </c>
      <c r="G12" s="3">
        <f>-[1]Sheet4!BR$211</f>
        <v>-5.3175607443009794</v>
      </c>
      <c r="H12" s="3">
        <f>-[1]Sheet4!BS$211</f>
        <v>-24.729064412469807</v>
      </c>
      <c r="I12" s="3">
        <f>-[1]Sheet4!BT$211</f>
        <v>-2.4873161832720427</v>
      </c>
      <c r="J12" s="3">
        <f>-[1]Sheet4!BU$211</f>
        <v>-2.979629864170882</v>
      </c>
    </row>
    <row r="13" spans="1:10" x14ac:dyDescent="0.3">
      <c r="A13" t="s">
        <v>21</v>
      </c>
      <c r="B13" s="3">
        <f>-[1]Sheet4!BM$230</f>
        <v>-4.5842156854696148</v>
      </c>
      <c r="C13" s="3">
        <f>-[1]Sheet4!BN$230</f>
        <v>-0.95145621289964843</v>
      </c>
      <c r="D13" s="3">
        <f>-[1]Sheet4!BO$230</f>
        <v>-8.2336566557987538</v>
      </c>
      <c r="E13" s="3">
        <f>-[1]Sheet4!BP$230</f>
        <v>-38.814775182315877</v>
      </c>
      <c r="F13" s="3">
        <f>-[1]Sheet4!BQ$230</f>
        <v>-33.417434428107569</v>
      </c>
      <c r="G13" s="3">
        <f>-[1]Sheet4!BR$230</f>
        <v>-12.381410690553825</v>
      </c>
      <c r="H13" s="3">
        <f>-[1]Sheet4!BS$230</f>
        <v>-48.24458570746237</v>
      </c>
      <c r="I13" s="3">
        <f>-[1]Sheet4!BT$230</f>
        <v>-11.984357710892249</v>
      </c>
      <c r="J13" s="3">
        <f>-[1]Sheet4!BU$230</f>
        <v>-23.353207910254277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Charles Berthet</dc:creator>
  <cp:lastModifiedBy>Etienne Berthet</cp:lastModifiedBy>
  <dcterms:created xsi:type="dcterms:W3CDTF">2023-12-07T20:59:59Z</dcterms:created>
  <dcterms:modified xsi:type="dcterms:W3CDTF">2025-09-05T23:42:13Z</dcterms:modified>
</cp:coreProperties>
</file>