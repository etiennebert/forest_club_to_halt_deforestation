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nGTAP375\Game_theory_2024\0_External_data\"/>
    </mc:Choice>
  </mc:AlternateContent>
  <xr:revisionPtr revIDLastSave="0" documentId="13_ncr:1_{91668D81-BD54-4725-8B07-7D1220F46AD1}" xr6:coauthVersionLast="47" xr6:coauthVersionMax="47" xr10:uidLastSave="{00000000-0000-0000-0000-000000000000}"/>
  <bookViews>
    <workbookView xWindow="-8244" yWindow="1032" windowWidth="28800" windowHeight="15288" xr2:uid="{D99D7A28-9E41-4005-A52E-F31E3628471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</calcChain>
</file>

<file path=xl/sharedStrings.xml><?xml version="1.0" encoding="utf-8"?>
<sst xmlns="http://schemas.openxmlformats.org/spreadsheetml/2006/main" count="44" uniqueCount="44">
  <si>
    <t>country</t>
  </si>
  <si>
    <t>GDP</t>
  </si>
  <si>
    <t>CAfr</t>
  </si>
  <si>
    <t>Mozambique</t>
  </si>
  <si>
    <t>WAfr</t>
  </si>
  <si>
    <t>Madagascar</t>
  </si>
  <si>
    <t>EAfr</t>
  </si>
  <si>
    <t>Nigeria</t>
  </si>
  <si>
    <t>IvoryCoast</t>
  </si>
  <si>
    <t>SouthAsia</t>
  </si>
  <si>
    <t>Angola</t>
  </si>
  <si>
    <t>Myanmar</t>
  </si>
  <si>
    <t>Ghana</t>
  </si>
  <si>
    <t>India</t>
  </si>
  <si>
    <t>SAfr</t>
  </si>
  <si>
    <t>Indonesia</t>
  </si>
  <si>
    <t>Bolivia</t>
  </si>
  <si>
    <t>Venezuela</t>
  </si>
  <si>
    <t>SEAsia</t>
  </si>
  <si>
    <t>LatinAmer</t>
  </si>
  <si>
    <t>Paraguay</t>
  </si>
  <si>
    <t>EastAsia</t>
  </si>
  <si>
    <t>China</t>
  </si>
  <si>
    <t>RestofWorld</t>
  </si>
  <si>
    <t>Brasil</t>
  </si>
  <si>
    <t>MENA</t>
  </si>
  <si>
    <t>Colombia</t>
  </si>
  <si>
    <t>Mexico</t>
  </si>
  <si>
    <t>Peru</t>
  </si>
  <si>
    <t>Malasya</t>
  </si>
  <si>
    <t>Uruguay</t>
  </si>
  <si>
    <t>Oceania</t>
  </si>
  <si>
    <t>Russia</t>
  </si>
  <si>
    <t>Argentina</t>
  </si>
  <si>
    <t>EU27</t>
  </si>
  <si>
    <t>Korea</t>
  </si>
  <si>
    <t>Japan</t>
  </si>
  <si>
    <t>US</t>
  </si>
  <si>
    <t>UK</t>
  </si>
  <si>
    <t>NewZealand</t>
  </si>
  <si>
    <t>Canada</t>
  </si>
  <si>
    <t>EFTA</t>
  </si>
  <si>
    <t>DRC</t>
  </si>
  <si>
    <t>NAfr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</si>
</sst>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unGTAP375\Game_theory_2024\0_External_data\Diplomatic\Thresholds_GTAPAEZ_Game_theory_R1.xlsx" TargetMode="External"/><Relationship Id="rId1" Type="http://schemas.openxmlformats.org/officeDocument/2006/relationships/externalLinkPath" Target="Diplomatic/Thresholds_GTAPAEZ_Game_theory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heet1"/>
      <sheetName val="EV_Thresholds"/>
      <sheetName val="GTAPAEZ_Mapping_Areas"/>
      <sheetName val="GDPData"/>
      <sheetName val="GDP_Pivot_table"/>
      <sheetName val="HDR21-22_Composite_indices_comp"/>
      <sheetName val="Population_Data"/>
      <sheetName val="HDI_data_2014_weighted_pop"/>
      <sheetName val="Joinning the club"/>
      <sheetName val="Sheet2"/>
      <sheetName val="Sheet3"/>
    </sheetNames>
    <sheetDataSet>
      <sheetData sheetId="0"/>
      <sheetData sheetId="1"/>
      <sheetData sheetId="2">
        <row r="1">
          <cell r="A1" t="str">
            <v>AEZ_area</v>
          </cell>
          <cell r="B1" t="str">
            <v>HDI_2019</v>
          </cell>
          <cell r="C1" t="str">
            <v>GDP_2019</v>
          </cell>
        </row>
        <row r="2">
          <cell r="A2" t="str">
            <v>Mozambique</v>
          </cell>
          <cell r="B2">
            <v>0.45600000000000002</v>
          </cell>
          <cell r="C2">
            <v>15390031039.995747</v>
          </cell>
        </row>
        <row r="3">
          <cell r="A3" t="str">
            <v>WAfr</v>
          </cell>
          <cell r="B3">
            <v>0.46759086195677141</v>
          </cell>
          <cell r="C3">
            <v>117522243002.50092</v>
          </cell>
        </row>
        <row r="4">
          <cell r="A4" t="str">
            <v>drc</v>
          </cell>
          <cell r="B4">
            <v>0.48199999999999998</v>
          </cell>
          <cell r="C4">
            <v>51775829868.766861</v>
          </cell>
        </row>
        <row r="5">
          <cell r="A5" t="str">
            <v>CAfr</v>
          </cell>
          <cell r="B5">
            <v>0.50568673061181302</v>
          </cell>
          <cell r="C5">
            <v>97200050541.011337</v>
          </cell>
        </row>
        <row r="6">
          <cell r="A6" t="str">
            <v>Madagascar</v>
          </cell>
          <cell r="B6">
            <v>0.51</v>
          </cell>
          <cell r="C6">
            <v>14104664677.962736</v>
          </cell>
        </row>
        <row r="7">
          <cell r="A7" t="str">
            <v>EAfr</v>
          </cell>
          <cell r="B7">
            <v>0.52901956911821979</v>
          </cell>
          <cell r="C7">
            <v>362201030390.51373</v>
          </cell>
        </row>
        <row r="8">
          <cell r="A8" t="str">
            <v>Nigeria</v>
          </cell>
          <cell r="B8">
            <v>0.53800000000000003</v>
          </cell>
          <cell r="C8">
            <v>474517470742.74933</v>
          </cell>
        </row>
        <row r="9">
          <cell r="A9" t="str">
            <v>IvoryCoast</v>
          </cell>
          <cell r="B9">
            <v>0.55000000000000004</v>
          </cell>
          <cell r="C9">
            <v>59898479821.194572</v>
          </cell>
        </row>
        <row r="10">
          <cell r="A10" t="str">
            <v>SouthAsia</v>
          </cell>
          <cell r="B10">
            <v>0.5905209779874836</v>
          </cell>
          <cell r="C10">
            <v>822398572469.52368</v>
          </cell>
        </row>
        <row r="11">
          <cell r="A11" t="str">
            <v>Angola</v>
          </cell>
          <cell r="B11">
            <v>0.59499999999999997</v>
          </cell>
          <cell r="C11">
            <v>69309110145.768738</v>
          </cell>
        </row>
        <row r="12">
          <cell r="A12" t="str">
            <v>Myanmar</v>
          </cell>
          <cell r="B12">
            <v>0.59837387902268913</v>
          </cell>
          <cell r="C12">
            <v>70726313077.180862</v>
          </cell>
        </row>
        <row r="13">
          <cell r="A13" t="str">
            <v>Ghana</v>
          </cell>
          <cell r="B13">
            <v>0.63100000000000012</v>
          </cell>
          <cell r="C13">
            <v>68337974418.768051</v>
          </cell>
        </row>
        <row r="14">
          <cell r="A14" t="str">
            <v>India</v>
          </cell>
          <cell r="B14">
            <v>0.64500000000000002</v>
          </cell>
          <cell r="C14">
            <v>2835606242052.4839</v>
          </cell>
        </row>
        <row r="15">
          <cell r="A15" t="str">
            <v>SAfr</v>
          </cell>
          <cell r="B15">
            <v>0.65303467669340209</v>
          </cell>
          <cell r="C15">
            <v>480867581310.77911</v>
          </cell>
        </row>
        <row r="16">
          <cell r="A16" t="str">
            <v>Indonesia</v>
          </cell>
          <cell r="B16">
            <v>0.71599999999999997</v>
          </cell>
          <cell r="C16">
            <v>1119099871386.1587</v>
          </cell>
        </row>
        <row r="17">
          <cell r="A17" t="str">
            <v>Bolivia</v>
          </cell>
          <cell r="B17">
            <v>0.71699999999999997</v>
          </cell>
          <cell r="C17">
            <v>40895322850.940666</v>
          </cell>
        </row>
        <row r="18">
          <cell r="A18" t="str">
            <v>Venezuela</v>
          </cell>
          <cell r="B18">
            <v>0.72099999999999997</v>
          </cell>
          <cell r="C18">
            <v>73010000000</v>
          </cell>
        </row>
        <row r="19">
          <cell r="A19" t="str">
            <v>Nafr</v>
          </cell>
          <cell r="B19">
            <v>0.72453779707245503</v>
          </cell>
          <cell r="C19">
            <v>738585271244.68311</v>
          </cell>
        </row>
        <row r="20">
          <cell r="A20" t="str">
            <v>SEAsia</v>
          </cell>
          <cell r="B20">
            <v>0.72811808487635676</v>
          </cell>
          <cell r="C20">
            <v>1677832796235.9653</v>
          </cell>
        </row>
        <row r="21">
          <cell r="A21" t="str">
            <v>LatinAmer</v>
          </cell>
          <cell r="B21">
            <v>0.72857133673454488</v>
          </cell>
          <cell r="C21">
            <v>1067029959717.9945</v>
          </cell>
        </row>
        <row r="22">
          <cell r="A22" t="str">
            <v>Paraguay</v>
          </cell>
          <cell r="B22">
            <v>0.73199999999999998</v>
          </cell>
          <cell r="C22">
            <v>37925338460.155571</v>
          </cell>
        </row>
        <row r="23">
          <cell r="A23" t="str">
            <v>EastAsia</v>
          </cell>
          <cell r="B23">
            <v>0.75594867898040219</v>
          </cell>
          <cell r="C23">
            <v>82880560178.539169</v>
          </cell>
        </row>
        <row r="24">
          <cell r="A24" t="str">
            <v>China</v>
          </cell>
          <cell r="B24">
            <v>0.76300794776679137</v>
          </cell>
          <cell r="C24">
            <v>14643043046265.256</v>
          </cell>
        </row>
        <row r="25">
          <cell r="A25" t="str">
            <v>RestofWorld</v>
          </cell>
          <cell r="B25">
            <v>0.76583944241636914</v>
          </cell>
          <cell r="C25">
            <v>674822951049.61011</v>
          </cell>
        </row>
        <row r="26">
          <cell r="A26" t="str">
            <v>Brasil</v>
          </cell>
          <cell r="B26">
            <v>0.7659999999999999</v>
          </cell>
          <cell r="C26">
            <v>1873288159000.6404</v>
          </cell>
        </row>
        <row r="27">
          <cell r="A27" t="str">
            <v>MENA</v>
          </cell>
          <cell r="B27">
            <v>0.76647148760568473</v>
          </cell>
          <cell r="C27">
            <v>3494232432582.4624</v>
          </cell>
        </row>
        <row r="28">
          <cell r="A28" t="str">
            <v>Colombia</v>
          </cell>
          <cell r="B28">
            <v>0.76800000000000002</v>
          </cell>
          <cell r="C28">
            <v>323031701210.76727</v>
          </cell>
        </row>
        <row r="29">
          <cell r="A29" t="str">
            <v>Mexico</v>
          </cell>
          <cell r="B29">
            <v>0.77900000000000003</v>
          </cell>
          <cell r="C29">
            <v>1269009571610.7576</v>
          </cell>
        </row>
        <row r="30">
          <cell r="A30" t="str">
            <v>Peru</v>
          </cell>
          <cell r="B30">
            <v>0.78</v>
          </cell>
          <cell r="C30">
            <v>228325852220.76141</v>
          </cell>
        </row>
        <row r="31">
          <cell r="A31" t="str">
            <v>Malasya</v>
          </cell>
          <cell r="B31">
            <v>0.80999999999999994</v>
          </cell>
          <cell r="C31">
            <v>365177744321.01135</v>
          </cell>
        </row>
        <row r="32">
          <cell r="A32" t="str">
            <v>Uruguay</v>
          </cell>
          <cell r="B32">
            <v>0.82099999999999984</v>
          </cell>
          <cell r="C32">
            <v>62048585618.504982</v>
          </cell>
        </row>
        <row r="33">
          <cell r="A33" t="str">
            <v>Oceania</v>
          </cell>
          <cell r="B33">
            <v>0.83102237428643833</v>
          </cell>
          <cell r="C33">
            <v>1451401363719.156</v>
          </cell>
        </row>
        <row r="34">
          <cell r="A34" t="str">
            <v>Russia</v>
          </cell>
          <cell r="B34">
            <v>0.84499999999999997</v>
          </cell>
          <cell r="C34">
            <v>1693114993990.49</v>
          </cell>
        </row>
        <row r="35">
          <cell r="A35" t="str">
            <v>Argentina</v>
          </cell>
          <cell r="B35">
            <v>0.85199999999999998</v>
          </cell>
          <cell r="C35">
            <v>447754686715.08081</v>
          </cell>
        </row>
        <row r="36">
          <cell r="A36" t="str">
            <v>EU27</v>
          </cell>
          <cell r="B36">
            <v>0.90671307430885439</v>
          </cell>
          <cell r="C36">
            <v>15692624900172.977</v>
          </cell>
        </row>
        <row r="37">
          <cell r="A37" t="str">
            <v>Korea</v>
          </cell>
          <cell r="B37">
            <v>0.92300000000000004</v>
          </cell>
          <cell r="C37">
            <v>1651422932447.7681</v>
          </cell>
        </row>
        <row r="38">
          <cell r="A38" t="str">
            <v>Japan</v>
          </cell>
          <cell r="B38">
            <v>0.92400000000000004</v>
          </cell>
          <cell r="C38">
            <v>5117993853016.5078</v>
          </cell>
        </row>
        <row r="39">
          <cell r="A39" t="str">
            <v>US</v>
          </cell>
          <cell r="B39">
            <v>0.93</v>
          </cell>
          <cell r="C39">
            <v>21380976119000</v>
          </cell>
        </row>
        <row r="40">
          <cell r="A40" t="str">
            <v>UK</v>
          </cell>
          <cell r="B40">
            <v>0.93500000000000005</v>
          </cell>
          <cell r="C40">
            <v>2857057847953.0215</v>
          </cell>
        </row>
        <row r="41">
          <cell r="A41" t="str">
            <v>NewZealand</v>
          </cell>
          <cell r="B41">
            <v>0.93700000000000006</v>
          </cell>
          <cell r="C41">
            <v>213091987153.09232</v>
          </cell>
        </row>
        <row r="42">
          <cell r="A42" t="str">
            <v>Canada</v>
          </cell>
          <cell r="B42">
            <v>0.93700000000000017</v>
          </cell>
          <cell r="C42">
            <v>1743725183672.5212</v>
          </cell>
        </row>
        <row r="43">
          <cell r="A43" t="str">
            <v>EFTA</v>
          </cell>
          <cell r="B43">
            <v>0.9615751097104196</v>
          </cell>
          <cell r="C43">
            <v>1154775596737.7727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2256-E6E7-4A19-B218-F6A07DF6ED0E}">
  <dimension ref="A1:B43"/>
  <sheetViews>
    <sheetView tabSelected="1" workbookViewId="0">
      <selection activeCell="F17" sqref="F17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33</v>
      </c>
      <c r="B2" s="2">
        <f>VLOOKUP(A2,[1]EV_Thresholds!$A:$C,3,FALSE)/1000000</f>
        <v>447754.68671508081</v>
      </c>
    </row>
    <row r="3" spans="1:2" x14ac:dyDescent="0.3">
      <c r="A3" t="s">
        <v>16</v>
      </c>
      <c r="B3" s="2">
        <f>VLOOKUP(A3,[1]EV_Thresholds!$A:$C,3,FALSE)/1000000</f>
        <v>40895.322850940669</v>
      </c>
    </row>
    <row r="4" spans="1:2" x14ac:dyDescent="0.3">
      <c r="A4" t="s">
        <v>24</v>
      </c>
      <c r="B4" s="2">
        <f>VLOOKUP(A4,[1]EV_Thresholds!$A:$C,3,FALSE)/1000000</f>
        <v>1873288.1590006403</v>
      </c>
    </row>
    <row r="5" spans="1:2" x14ac:dyDescent="0.3">
      <c r="A5" t="s">
        <v>31</v>
      </c>
      <c r="B5" s="2">
        <f>VLOOKUP(A5,[1]EV_Thresholds!$A:$C,3,FALSE)/1000000</f>
        <v>1451401.363719156</v>
      </c>
    </row>
    <row r="6" spans="1:2" x14ac:dyDescent="0.3">
      <c r="A6" t="s">
        <v>39</v>
      </c>
      <c r="B6" s="2">
        <f>VLOOKUP(A6,[1]EV_Thresholds!$A:$C,3,FALSE)/1000000</f>
        <v>213091.98715309231</v>
      </c>
    </row>
    <row r="7" spans="1:2" x14ac:dyDescent="0.3">
      <c r="A7" t="s">
        <v>22</v>
      </c>
      <c r="B7" s="2">
        <f>VLOOKUP(A7,[1]EV_Thresholds!$A:$C,3,FALSE)/1000000</f>
        <v>14643043.046265256</v>
      </c>
    </row>
    <row r="8" spans="1:2" x14ac:dyDescent="0.3">
      <c r="A8" t="s">
        <v>36</v>
      </c>
      <c r="B8" s="2">
        <f>VLOOKUP(A8,[1]EV_Thresholds!$A:$C,3,FALSE)/1000000</f>
        <v>5117993.8530165078</v>
      </c>
    </row>
    <row r="9" spans="1:2" x14ac:dyDescent="0.3">
      <c r="A9" t="s">
        <v>35</v>
      </c>
      <c r="B9" s="2">
        <f>VLOOKUP(A9,[1]EV_Thresholds!$A:$C,3,FALSE)/1000000</f>
        <v>1651422.932447768</v>
      </c>
    </row>
    <row r="10" spans="1:2" x14ac:dyDescent="0.3">
      <c r="A10" t="s">
        <v>15</v>
      </c>
      <c r="B10" s="2">
        <f>VLOOKUP(A10,[1]EV_Thresholds!$A:$C,3,FALSE)/1000000</f>
        <v>1119099.8713861587</v>
      </c>
    </row>
    <row r="11" spans="1:2" x14ac:dyDescent="0.3">
      <c r="A11" t="s">
        <v>5</v>
      </c>
      <c r="B11" s="2">
        <f>VLOOKUP(A11,[1]EV_Thresholds!$A:$C,3,FALSE)/1000000</f>
        <v>14104.664677962735</v>
      </c>
    </row>
    <row r="12" spans="1:2" x14ac:dyDescent="0.3">
      <c r="A12" t="s">
        <v>21</v>
      </c>
      <c r="B12" s="2">
        <f>VLOOKUP(A12,[1]EV_Thresholds!$A:$C,3,FALSE)/1000000</f>
        <v>82880.560178539163</v>
      </c>
    </row>
    <row r="13" spans="1:2" x14ac:dyDescent="0.3">
      <c r="A13" t="s">
        <v>18</v>
      </c>
      <c r="B13" s="2">
        <f>VLOOKUP(A13,[1]EV_Thresholds!$A:$C,3,FALSE)/1000000</f>
        <v>1677832.7962359653</v>
      </c>
    </row>
    <row r="14" spans="1:2" x14ac:dyDescent="0.3">
      <c r="A14" t="s">
        <v>29</v>
      </c>
      <c r="B14" s="2">
        <f>VLOOKUP(A14,[1]EV_Thresholds!$A:$C,3,FALSE)/1000000</f>
        <v>365177.74432101136</v>
      </c>
    </row>
    <row r="15" spans="1:2" x14ac:dyDescent="0.3">
      <c r="A15" t="s">
        <v>11</v>
      </c>
      <c r="B15" s="2">
        <f>VLOOKUP(A15,[1]EV_Thresholds!$A:$C,3,FALSE)/1000000</f>
        <v>70726.313077180865</v>
      </c>
    </row>
    <row r="16" spans="1:2" x14ac:dyDescent="0.3">
      <c r="A16" t="s">
        <v>9</v>
      </c>
      <c r="B16" s="2">
        <f>VLOOKUP(A16,[1]EV_Thresholds!$A:$C,3,FALSE)/1000000</f>
        <v>822398.57246952364</v>
      </c>
    </row>
    <row r="17" spans="1:2" x14ac:dyDescent="0.3">
      <c r="A17" t="s">
        <v>13</v>
      </c>
      <c r="B17" s="2">
        <f>VLOOKUP(A17,[1]EV_Thresholds!$A:$C,3,FALSE)/1000000</f>
        <v>2835606.2420524838</v>
      </c>
    </row>
    <row r="18" spans="1:2" x14ac:dyDescent="0.3">
      <c r="A18" t="s">
        <v>40</v>
      </c>
      <c r="B18" s="2">
        <f>VLOOKUP(A18,[1]EV_Thresholds!$A:$C,3,FALSE)/1000000</f>
        <v>1743725.1836725213</v>
      </c>
    </row>
    <row r="19" spans="1:2" x14ac:dyDescent="0.3">
      <c r="A19" t="s">
        <v>37</v>
      </c>
      <c r="B19" s="2">
        <f>VLOOKUP(A19,[1]EV_Thresholds!$A:$C,3,FALSE)/1000000</f>
        <v>21380976.118999999</v>
      </c>
    </row>
    <row r="20" spans="1:2" x14ac:dyDescent="0.3">
      <c r="A20" t="s">
        <v>27</v>
      </c>
      <c r="B20" s="2">
        <f>VLOOKUP(A20,[1]EV_Thresholds!$A:$C,3,FALSE)/1000000</f>
        <v>1269009.5716107576</v>
      </c>
    </row>
    <row r="21" spans="1:2" x14ac:dyDescent="0.3">
      <c r="A21" t="s">
        <v>26</v>
      </c>
      <c r="B21" s="2">
        <f>VLOOKUP(A21,[1]EV_Thresholds!$A:$C,3,FALSE)/1000000</f>
        <v>323031.70121076726</v>
      </c>
    </row>
    <row r="22" spans="1:2" x14ac:dyDescent="0.3">
      <c r="A22" t="s">
        <v>19</v>
      </c>
      <c r="B22" s="2">
        <f>VLOOKUP(A22,[1]EV_Thresholds!$A:$C,3,FALSE)/1000000</f>
        <v>1067029.9597179946</v>
      </c>
    </row>
    <row r="23" spans="1:2" x14ac:dyDescent="0.3">
      <c r="A23" t="s">
        <v>20</v>
      </c>
      <c r="B23" s="2">
        <f>VLOOKUP(A23,[1]EV_Thresholds!$A:$C,3,FALSE)/1000000</f>
        <v>37925.338460155574</v>
      </c>
    </row>
    <row r="24" spans="1:2" x14ac:dyDescent="0.3">
      <c r="A24" t="s">
        <v>28</v>
      </c>
      <c r="B24" s="2">
        <f>VLOOKUP(A24,[1]EV_Thresholds!$A:$C,3,FALSE)/1000000</f>
        <v>228325.85222076142</v>
      </c>
    </row>
    <row r="25" spans="1:2" x14ac:dyDescent="0.3">
      <c r="A25" t="s">
        <v>30</v>
      </c>
      <c r="B25" s="2">
        <f>VLOOKUP(A25,[1]EV_Thresholds!$A:$C,3,FALSE)/1000000</f>
        <v>62048.585618504985</v>
      </c>
    </row>
    <row r="26" spans="1:2" x14ac:dyDescent="0.3">
      <c r="A26" t="s">
        <v>17</v>
      </c>
      <c r="B26" s="2">
        <f>VLOOKUP(A26,[1]EV_Thresholds!$A:$C,3,FALSE)/1000000</f>
        <v>73010</v>
      </c>
    </row>
    <row r="27" spans="1:2" x14ac:dyDescent="0.3">
      <c r="A27" t="s">
        <v>34</v>
      </c>
      <c r="B27" s="2">
        <f>VLOOKUP(A27,[1]EV_Thresholds!$A:$C,3,FALSE)/1000000</f>
        <v>15692624.900172977</v>
      </c>
    </row>
    <row r="28" spans="1:2" x14ac:dyDescent="0.3">
      <c r="A28" t="s">
        <v>38</v>
      </c>
      <c r="B28" s="2">
        <f>VLOOKUP(A28,[1]EV_Thresholds!$A:$C,3,FALSE)/1000000</f>
        <v>2857057.8479530215</v>
      </c>
    </row>
    <row r="29" spans="1:2" x14ac:dyDescent="0.3">
      <c r="A29" t="s">
        <v>41</v>
      </c>
      <c r="B29" s="2">
        <f>VLOOKUP(A29,[1]EV_Thresholds!$A:$C,3,FALSE)/1000000</f>
        <v>1154775.5967377727</v>
      </c>
    </row>
    <row r="30" spans="1:2" x14ac:dyDescent="0.3">
      <c r="A30" t="s">
        <v>23</v>
      </c>
      <c r="B30" s="2">
        <f>VLOOKUP(A30,[1]EV_Thresholds!$A:$C,3,FALSE)/1000000</f>
        <v>674822.95104961016</v>
      </c>
    </row>
    <row r="31" spans="1:2" x14ac:dyDescent="0.3">
      <c r="A31" t="s">
        <v>32</v>
      </c>
      <c r="B31" s="2">
        <f>VLOOKUP(A31,[1]EV_Thresholds!$A:$C,3,FALSE)/1000000</f>
        <v>1693114.99399049</v>
      </c>
    </row>
    <row r="32" spans="1:2" x14ac:dyDescent="0.3">
      <c r="A32" t="s">
        <v>25</v>
      </c>
      <c r="B32" s="2">
        <f>VLOOKUP(A32,[1]EV_Thresholds!$A:$C,3,FALSE)/1000000</f>
        <v>3494232.4325824622</v>
      </c>
    </row>
    <row r="33" spans="1:2" x14ac:dyDescent="0.3">
      <c r="A33" t="s">
        <v>10</v>
      </c>
      <c r="B33" s="2">
        <f>VLOOKUP(A33,[1]EV_Thresholds!$A:$C,3,FALSE)/1000000</f>
        <v>69309.110145768733</v>
      </c>
    </row>
    <row r="34" spans="1:2" x14ac:dyDescent="0.3">
      <c r="A34" t="s">
        <v>42</v>
      </c>
      <c r="B34" s="2">
        <f>VLOOKUP(A34,[1]EV_Thresholds!$A:$C,3,FALSE)/1000000</f>
        <v>51775.829868766858</v>
      </c>
    </row>
    <row r="35" spans="1:2" x14ac:dyDescent="0.3">
      <c r="A35" t="s">
        <v>43</v>
      </c>
      <c r="B35" s="2">
        <f>VLOOKUP(A35,[1]EV_Thresholds!$A:$C,3,FALSE)/1000000</f>
        <v>738585.27124468307</v>
      </c>
    </row>
    <row r="36" spans="1:2" x14ac:dyDescent="0.3">
      <c r="A36" t="s">
        <v>4</v>
      </c>
      <c r="B36" s="2">
        <f>VLOOKUP(A36,[1]EV_Thresholds!$A:$C,3,FALSE)/1000000</f>
        <v>117522.24300250091</v>
      </c>
    </row>
    <row r="37" spans="1:2" x14ac:dyDescent="0.3">
      <c r="A37" t="s">
        <v>2</v>
      </c>
      <c r="B37" s="2">
        <f>VLOOKUP(A37,[1]EV_Thresholds!$A:$C,3,FALSE)/1000000</f>
        <v>97200.05054101134</v>
      </c>
    </row>
    <row r="38" spans="1:2" x14ac:dyDescent="0.3">
      <c r="A38" t="s">
        <v>6</v>
      </c>
      <c r="B38" s="2">
        <f>VLOOKUP(A38,[1]EV_Thresholds!$A:$C,3,FALSE)/1000000</f>
        <v>362201.03039051371</v>
      </c>
    </row>
    <row r="39" spans="1:2" x14ac:dyDescent="0.3">
      <c r="A39" t="s">
        <v>14</v>
      </c>
      <c r="B39" s="2">
        <f>VLOOKUP(A39,[1]EV_Thresholds!$A:$C,3,FALSE)/1000000</f>
        <v>480867.58131077909</v>
      </c>
    </row>
    <row r="40" spans="1:2" x14ac:dyDescent="0.3">
      <c r="A40" t="s">
        <v>8</v>
      </c>
      <c r="B40" s="2">
        <f>VLOOKUP(A40,[1]EV_Thresholds!$A:$C,3,FALSE)/1000000</f>
        <v>59898.479821194574</v>
      </c>
    </row>
    <row r="41" spans="1:2" x14ac:dyDescent="0.3">
      <c r="A41" t="s">
        <v>12</v>
      </c>
      <c r="B41" s="2">
        <f>VLOOKUP(A41,[1]EV_Thresholds!$A:$C,3,FALSE)/1000000</f>
        <v>68337.974418768048</v>
      </c>
    </row>
    <row r="42" spans="1:2" x14ac:dyDescent="0.3">
      <c r="A42" t="s">
        <v>7</v>
      </c>
      <c r="B42" s="2">
        <f>VLOOKUP(A42,[1]EV_Thresholds!$A:$C,3,FALSE)/1000000</f>
        <v>474517.47074274934</v>
      </c>
    </row>
    <row r="43" spans="1:2" x14ac:dyDescent="0.3">
      <c r="A43" s="1" t="s">
        <v>3</v>
      </c>
      <c r="B43" s="3">
        <f>97200050541.0113/1000000</f>
        <v>97200.050541011311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2024-06-11T18:04:33Z</dcterms:created>
  <dcterms:modified xsi:type="dcterms:W3CDTF">2025-12-15T03:49:56Z</dcterms:modified>
</cp:coreProperties>
</file>